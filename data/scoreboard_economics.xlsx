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Schroeder\Box\Hockey Board\NSIA\Scoreboard\"/>
    </mc:Choice>
  </mc:AlternateContent>
  <xr:revisionPtr revIDLastSave="0" documentId="13_ncr:1_{D86C37E6-3E00-4C5B-B5AB-DD72391C124E}" xr6:coauthVersionLast="47" xr6:coauthVersionMax="47" xr10:uidLastSave="{00000000-0000-0000-0000-000000000000}"/>
  <bookViews>
    <workbookView xWindow="25695" yWindow="0" windowWidth="26010" windowHeight="20985" xr2:uid="{9241666A-818F-4CBC-867E-2455B8AF9993}"/>
  </bookViews>
  <sheets>
    <sheet name="Sheet1" sheetId="1" r:id="rId1"/>
    <sheet name="Sheet2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I12" i="2"/>
  <c r="I11" i="2"/>
  <c r="I9" i="2"/>
  <c r="I8" i="2"/>
  <c r="I7" i="2"/>
  <c r="I6" i="2"/>
  <c r="I5" i="2"/>
  <c r="P19" i="2"/>
  <c r="Q19" i="2"/>
  <c r="R19" i="2"/>
  <c r="J21" i="2"/>
  <c r="J19" i="2"/>
  <c r="K19" i="2" s="1"/>
  <c r="L19" i="2" s="1"/>
  <c r="M19" i="2" s="1"/>
  <c r="N19" i="2" s="1"/>
  <c r="O19" i="2" s="1"/>
  <c r="O21" i="2" s="1"/>
  <c r="I19" i="2"/>
  <c r="G31" i="2"/>
  <c r="G32" i="2"/>
  <c r="G33" i="2"/>
  <c r="G34" i="2"/>
  <c r="P21" i="2" s="1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30" i="2"/>
  <c r="H21" i="2" s="1"/>
  <c r="H7" i="2"/>
  <c r="R45" i="1"/>
  <c r="R44" i="1"/>
  <c r="H45" i="1"/>
  <c r="I45" i="1" s="1"/>
  <c r="J45" i="1" s="1"/>
  <c r="K45" i="1" s="1"/>
  <c r="L45" i="1" s="1"/>
  <c r="M45" i="1" s="1"/>
  <c r="N45" i="1" s="1"/>
  <c r="O45" i="1" s="1"/>
  <c r="P45" i="1" s="1"/>
  <c r="P47" i="1" s="1"/>
  <c r="G32" i="1"/>
  <c r="G16" i="1"/>
  <c r="G18" i="1" s="1"/>
  <c r="G19" i="1" s="1"/>
  <c r="H17" i="1"/>
  <c r="H30" i="1"/>
  <c r="I30" i="1" s="1"/>
  <c r="J30" i="1" s="1"/>
  <c r="K30" i="1" s="1"/>
  <c r="L30" i="1" s="1"/>
  <c r="M30" i="1" s="1"/>
  <c r="N30" i="1" s="1"/>
  <c r="O30" i="1" s="1"/>
  <c r="P30" i="1" s="1"/>
  <c r="H31" i="1"/>
  <c r="I31" i="1" s="1"/>
  <c r="J31" i="1" s="1"/>
  <c r="K31" i="1" s="1"/>
  <c r="L31" i="1" s="1"/>
  <c r="M31" i="1" s="1"/>
  <c r="N31" i="1" s="1"/>
  <c r="O31" i="1" s="1"/>
  <c r="P31" i="1" s="1"/>
  <c r="G24" i="1"/>
  <c r="H23" i="1"/>
  <c r="I23" i="1" s="1"/>
  <c r="J23" i="1" s="1"/>
  <c r="K23" i="1" s="1"/>
  <c r="L23" i="1" s="1"/>
  <c r="M23" i="1" s="1"/>
  <c r="N23" i="1" s="1"/>
  <c r="O23" i="1" s="1"/>
  <c r="P23" i="1" s="1"/>
  <c r="H22" i="1"/>
  <c r="H14" i="1"/>
  <c r="I14" i="1" s="1"/>
  <c r="H15" i="1"/>
  <c r="I15" i="1" s="1"/>
  <c r="J15" i="1" s="1"/>
  <c r="K15" i="1" s="1"/>
  <c r="L15" i="1" s="1"/>
  <c r="M15" i="1" s="1"/>
  <c r="N15" i="1" s="1"/>
  <c r="O15" i="1" s="1"/>
  <c r="P15" i="1" s="1"/>
  <c r="H10" i="1"/>
  <c r="H11" i="1" s="1"/>
  <c r="H7" i="1"/>
  <c r="I7" i="1" s="1"/>
  <c r="J7" i="1" s="1"/>
  <c r="K7" i="1" s="1"/>
  <c r="L7" i="1" s="1"/>
  <c r="M7" i="1" s="1"/>
  <c r="N7" i="1" s="1"/>
  <c r="O7" i="1" s="1"/>
  <c r="P7" i="1" s="1"/>
  <c r="G11" i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O47" i="1" l="1"/>
  <c r="J47" i="1"/>
  <c r="L47" i="1"/>
  <c r="I47" i="1"/>
  <c r="M47" i="1"/>
  <c r="H47" i="1"/>
  <c r="K47" i="1"/>
  <c r="R46" i="1"/>
  <c r="N47" i="1"/>
  <c r="G47" i="1"/>
  <c r="R47" i="1" s="1"/>
  <c r="I14" i="2"/>
  <c r="I21" i="2"/>
  <c r="H23" i="2" s="1"/>
  <c r="Q21" i="2"/>
  <c r="N21" i="2"/>
  <c r="M21" i="2"/>
  <c r="L21" i="2"/>
  <c r="K21" i="2"/>
  <c r="R21" i="2"/>
  <c r="R30" i="1"/>
  <c r="R31" i="1"/>
  <c r="P32" i="1"/>
  <c r="H16" i="1"/>
  <c r="H18" i="1" s="1"/>
  <c r="H19" i="1" s="1"/>
  <c r="O32" i="1"/>
  <c r="N32" i="1"/>
  <c r="M32" i="1"/>
  <c r="L32" i="1"/>
  <c r="K32" i="1"/>
  <c r="J32" i="1"/>
  <c r="I32" i="1"/>
  <c r="H32" i="1"/>
  <c r="I17" i="1"/>
  <c r="J17" i="1" s="1"/>
  <c r="K17" i="1" s="1"/>
  <c r="L17" i="1" s="1"/>
  <c r="G26" i="1"/>
  <c r="G34" i="1" s="1"/>
  <c r="J14" i="1"/>
  <c r="H24" i="1"/>
  <c r="I22" i="1"/>
  <c r="I10" i="1"/>
  <c r="J10" i="1" s="1"/>
  <c r="K10" i="1" s="1"/>
  <c r="L10" i="1" s="1"/>
  <c r="M10" i="1" s="1"/>
  <c r="R32" i="1" l="1"/>
  <c r="I16" i="1"/>
  <c r="I18" i="1" s="1"/>
  <c r="I19" i="1" s="1"/>
  <c r="J16" i="1"/>
  <c r="J18" i="1" s="1"/>
  <c r="J19" i="1" s="1"/>
  <c r="K16" i="1"/>
  <c r="K18" i="1" s="1"/>
  <c r="H26" i="1"/>
  <c r="H34" i="1" s="1"/>
  <c r="M17" i="1"/>
  <c r="L16" i="1"/>
  <c r="L18" i="1"/>
  <c r="K14" i="1"/>
  <c r="I24" i="1"/>
  <c r="J22" i="1"/>
  <c r="N10" i="1"/>
  <c r="M11" i="1"/>
  <c r="I11" i="1"/>
  <c r="K19" i="1" l="1"/>
  <c r="I26" i="1"/>
  <c r="I34" i="1" s="1"/>
  <c r="N17" i="1"/>
  <c r="M16" i="1"/>
  <c r="M18" i="1" s="1"/>
  <c r="L14" i="1"/>
  <c r="L19" i="1" s="1"/>
  <c r="J24" i="1"/>
  <c r="K22" i="1"/>
  <c r="O10" i="1"/>
  <c r="N11" i="1"/>
  <c r="J11" i="1"/>
  <c r="O17" i="1" l="1"/>
  <c r="N16" i="1"/>
  <c r="N18" i="1" s="1"/>
  <c r="J26" i="1"/>
  <c r="J34" i="1" s="1"/>
  <c r="M14" i="1"/>
  <c r="M19" i="1" s="1"/>
  <c r="L22" i="1"/>
  <c r="K24" i="1"/>
  <c r="P10" i="1"/>
  <c r="P11" i="1" s="1"/>
  <c r="O11" i="1"/>
  <c r="L11" i="1"/>
  <c r="K11" i="1"/>
  <c r="K26" i="1" s="1"/>
  <c r="K34" i="1" s="1"/>
  <c r="R11" i="1" l="1"/>
  <c r="P17" i="1"/>
  <c r="P16" i="1" s="1"/>
  <c r="P18" i="1" s="1"/>
  <c r="O16" i="1"/>
  <c r="O18" i="1" s="1"/>
  <c r="N14" i="1"/>
  <c r="N19" i="1" s="1"/>
  <c r="M22" i="1"/>
  <c r="L24" i="1"/>
  <c r="L26" i="1" s="1"/>
  <c r="L34" i="1" s="1"/>
  <c r="O14" i="1" l="1"/>
  <c r="O19" i="1" s="1"/>
  <c r="M24" i="1"/>
  <c r="M26" i="1" s="1"/>
  <c r="M34" i="1" s="1"/>
  <c r="N22" i="1"/>
  <c r="P14" i="1" l="1"/>
  <c r="P19" i="1" s="1"/>
  <c r="R19" i="1" s="1"/>
  <c r="N24" i="1"/>
  <c r="N26" i="1" s="1"/>
  <c r="N34" i="1" s="1"/>
  <c r="O22" i="1"/>
  <c r="O24" i="1" l="1"/>
  <c r="O26" i="1" s="1"/>
  <c r="O34" i="1" s="1"/>
  <c r="P22" i="1"/>
  <c r="P24" i="1" s="1"/>
  <c r="P26" i="1" l="1"/>
  <c r="P34" i="1" s="1"/>
  <c r="R34" i="1" s="1"/>
  <c r="R24" i="1"/>
  <c r="R26" i="1" s="1"/>
</calcChain>
</file>

<file path=xl/sharedStrings.xml><?xml version="1.0" encoding="utf-8"?>
<sst xmlns="http://schemas.openxmlformats.org/spreadsheetml/2006/main" count="145" uniqueCount="133">
  <si>
    <t>Existing Sponsorship Revenue</t>
  </si>
  <si>
    <t>Existing Sponsors (100% of Revenue to NSIA)</t>
  </si>
  <si>
    <t>Illustrative Runoff of Existing Sponsors</t>
  </si>
  <si>
    <t>Existing Sponsor Revenue</t>
  </si>
  <si>
    <t>Referrals</t>
  </si>
  <si>
    <t>% of Revenue to NSIA</t>
  </si>
  <si>
    <t>$ Amount of Referral Revenue</t>
  </si>
  <si>
    <t>Referral Sponsorship Revenue to NSIA</t>
  </si>
  <si>
    <t>Non-Referrals</t>
  </si>
  <si>
    <t>NSIA Sponsorship Revenue</t>
  </si>
  <si>
    <t>Scoreboard Costs</t>
  </si>
  <si>
    <t>Software License</t>
  </si>
  <si>
    <t>Standard Package</t>
  </si>
  <si>
    <t>Gold</t>
  </si>
  <si>
    <t>Platinum</t>
  </si>
  <si>
    <t>Extended Warranty Options (Years 6-11)</t>
  </si>
  <si>
    <t>Illustrative Cost to Deliver</t>
  </si>
  <si>
    <t>Net Sponsorship Revenue</t>
  </si>
  <si>
    <t>% Cost to Deliver</t>
  </si>
  <si>
    <t>Total Annual Costs</t>
  </si>
  <si>
    <t>Net Cash Flow</t>
  </si>
  <si>
    <t>Illustrative Maintenance &amp; Repair Costs</t>
  </si>
  <si>
    <t>Year</t>
  </si>
  <si>
    <t>Labor Warranty</t>
  </si>
  <si>
    <t>Product / Parts Warranty</t>
  </si>
  <si>
    <t>10 Year</t>
  </si>
  <si>
    <t>Total</t>
  </si>
  <si>
    <t>Non-Referral Sponsorship Revenue to NSIA</t>
  </si>
  <si>
    <t>$ Amount of Non-Referral Revenue</t>
  </si>
  <si>
    <t>Alternative - Purchase Cheaper Scoreboard</t>
  </si>
  <si>
    <t>Upfront Cost</t>
  </si>
  <si>
    <t>Sponsorship Revenue</t>
  </si>
  <si>
    <t>Annual Maintenance</t>
  </si>
  <si>
    <t xml:space="preserve">Cash Flow to Purchase Cheaper </t>
  </si>
  <si>
    <t>Customer</t>
  </si>
  <si>
    <t>Type</t>
  </si>
  <si>
    <t>Location/Notes</t>
  </si>
  <si>
    <t>Term</t>
  </si>
  <si>
    <t>Expiration Date</t>
  </si>
  <si>
    <t>Cost</t>
  </si>
  <si>
    <t>Style Big Club</t>
  </si>
  <si>
    <t>Window Decal</t>
  </si>
  <si>
    <t>Above Lobby Exit Doors</t>
  </si>
  <si>
    <t>3 years</t>
  </si>
  <si>
    <t>Laura Stamm</t>
  </si>
  <si>
    <t>Above NHL Entry Doors</t>
  </si>
  <si>
    <t>3 Years</t>
  </si>
  <si>
    <t>Courtney Cook</t>
  </si>
  <si>
    <t>Banner</t>
  </si>
  <si>
    <t>Paid in 2 installments</t>
  </si>
  <si>
    <t>5 Years</t>
  </si>
  <si>
    <t>Christian Grunnah</t>
  </si>
  <si>
    <t>NHL Back Wall</t>
  </si>
  <si>
    <t>Warrick Hockey Advantage</t>
  </si>
  <si>
    <t>2 Years</t>
  </si>
  <si>
    <t>Puck Tutor</t>
  </si>
  <si>
    <t>Banner/Window Decal</t>
  </si>
  <si>
    <t>NHL Back Wall, Above Studio Entrance</t>
  </si>
  <si>
    <t>Monthly</t>
  </si>
  <si>
    <t>N/A</t>
  </si>
  <si>
    <t>$200/Month</t>
  </si>
  <si>
    <t>Endeavor Health</t>
  </si>
  <si>
    <t>Dasher Board</t>
  </si>
  <si>
    <t>Home side player entry door</t>
  </si>
  <si>
    <t>1 Year</t>
  </si>
  <si>
    <t>GVN Performance</t>
  </si>
  <si>
    <t>Part of Lease</t>
  </si>
  <si>
    <t>Landmark Exteriors</t>
  </si>
  <si>
    <t>Dasher Board + Banner</t>
  </si>
  <si>
    <t>NHL Back Wall, Away side player entry door, waiting on dasher board arrival</t>
  </si>
  <si>
    <t>TBD</t>
  </si>
  <si>
    <t>Annual</t>
  </si>
  <si>
    <t>Date</t>
  </si>
  <si>
    <t>Amount</t>
  </si>
  <si>
    <t>Advertising</t>
  </si>
  <si>
    <t>09/01/2014</t>
  </si>
  <si>
    <t>10/01/2014</t>
  </si>
  <si>
    <t>11/01/2014</t>
  </si>
  <si>
    <t>12/31/2014</t>
  </si>
  <si>
    <t>09/01/2015</t>
  </si>
  <si>
    <t>10/01/2015</t>
  </si>
  <si>
    <t>12/31/2015</t>
  </si>
  <si>
    <t>04/30/2016</t>
  </si>
  <si>
    <t>05/31/2016</t>
  </si>
  <si>
    <t>10/31/2016</t>
  </si>
  <si>
    <t>11/30/2016</t>
  </si>
  <si>
    <t>12/31/2016</t>
  </si>
  <si>
    <t>05/31/2017</t>
  </si>
  <si>
    <t>06/30/2017</t>
  </si>
  <si>
    <t>09/05/2017</t>
  </si>
  <si>
    <t>11/30/2017</t>
  </si>
  <si>
    <t>12/18/2017</t>
  </si>
  <si>
    <t>01/31/2018</t>
  </si>
  <si>
    <t>04/30/2018</t>
  </si>
  <si>
    <t>06/30/2018</t>
  </si>
  <si>
    <t>09/30/2018</t>
  </si>
  <si>
    <t>10/31/2018</t>
  </si>
  <si>
    <t>03/31/2019</t>
  </si>
  <si>
    <t>04/30/2019</t>
  </si>
  <si>
    <t>10/31/2019</t>
  </si>
  <si>
    <t>12/31/2019</t>
  </si>
  <si>
    <t>01/31/2020</t>
  </si>
  <si>
    <t>07/29/2020</t>
  </si>
  <si>
    <t>07/31/2020</t>
  </si>
  <si>
    <t>10/31/2020</t>
  </si>
  <si>
    <t>02/28/2021</t>
  </si>
  <si>
    <t>04/30/2021</t>
  </si>
  <si>
    <t>08/01/2021</t>
  </si>
  <si>
    <t>10/29/2021</t>
  </si>
  <si>
    <t>01/03/2022</t>
  </si>
  <si>
    <t>03/01/2022</t>
  </si>
  <si>
    <t>06/30/2022</t>
  </si>
  <si>
    <t>09/30/2022</t>
  </si>
  <si>
    <t>12/31/2022</t>
  </si>
  <si>
    <t>02/01/2023</t>
  </si>
  <si>
    <t>03/14/2023</t>
  </si>
  <si>
    <t>09/29/2023</t>
  </si>
  <si>
    <t>10/25/2023</t>
  </si>
  <si>
    <t>11/21/2023</t>
  </si>
  <si>
    <t>12/31/2023</t>
  </si>
  <si>
    <t>03/12/2024</t>
  </si>
  <si>
    <t>05/31/2024</t>
  </si>
  <si>
    <t>09/16/2024</t>
  </si>
  <si>
    <t>11/19/2024</t>
  </si>
  <si>
    <t>12/16/2024</t>
  </si>
  <si>
    <t>01/31/2025</t>
  </si>
  <si>
    <t>02/28/2025</t>
  </si>
  <si>
    <t>03/01/2025</t>
  </si>
  <si>
    <t>03/04/2025</t>
  </si>
  <si>
    <t xml:space="preserve">         Total for Advertising</t>
  </si>
  <si>
    <t>Ad Revenue</t>
  </si>
  <si>
    <t>Average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</si>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</sst>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#,##0.00\ _€"/>
    <numFmt numFmtId="167" formatCode="&quot;$&quot;* #,##0.00\ _€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CC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/>
  </cellStyleXfs>
  <cellXfs count="76">
    <xf numFmtId="0" fontId="0" fillId="0" borderId="0" xfId="0"/>
    <xf numFmtId="165" fontId="0" fillId="0" borderId="0" xfId="1" applyNumberFormat="1" applyFont="1"/>
    <xf numFmtId="9" fontId="0" fillId="0" borderId="0" xfId="0" applyNumberFormat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0" borderId="0" xfId="0" applyBorder="1"/>
    <xf numFmtId="9" fontId="0" fillId="0" borderId="0" xfId="0" applyNumberFormat="1" applyBorder="1"/>
    <xf numFmtId="165" fontId="4" fillId="0" borderId="0" xfId="1" applyNumberFormat="1" applyFont="1"/>
    <xf numFmtId="165" fontId="4" fillId="0" borderId="0" xfId="1" applyNumberFormat="1" applyFont="1" applyBorder="1"/>
    <xf numFmtId="165" fontId="0" fillId="0" borderId="0" xfId="1" applyNumberFormat="1" applyFont="1" applyBorder="1"/>
    <xf numFmtId="0" fontId="0" fillId="0" borderId="0" xfId="0" applyBorder="1" applyAlignment="1">
      <alignment horizontal="left" indent="1"/>
    </xf>
    <xf numFmtId="0" fontId="0" fillId="0" borderId="0" xfId="0" applyAlignment="1">
      <alignment horizontal="left" indent="1"/>
    </xf>
    <xf numFmtId="9" fontId="4" fillId="0" borderId="0" xfId="0" applyNumberFormat="1" applyFont="1" applyBorder="1"/>
    <xf numFmtId="165" fontId="0" fillId="0" borderId="0" xfId="0" applyNumberFormat="1"/>
    <xf numFmtId="0" fontId="2" fillId="2" borderId="3" xfId="0" applyFont="1" applyFill="1" applyBorder="1" applyAlignment="1">
      <alignment horizontal="left" indent="1"/>
    </xf>
    <xf numFmtId="0" fontId="2" fillId="2" borderId="4" xfId="0" applyFont="1" applyFill="1" applyBorder="1"/>
    <xf numFmtId="165" fontId="2" fillId="2" borderId="4" xfId="0" applyNumberFormat="1" applyFont="1" applyFill="1" applyBorder="1"/>
    <xf numFmtId="165" fontId="2" fillId="2" borderId="5" xfId="0" applyNumberFormat="1" applyFont="1" applyFill="1" applyBorder="1"/>
    <xf numFmtId="165" fontId="4" fillId="0" borderId="1" xfId="1" applyNumberFormat="1" applyFont="1" applyBorder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9" fontId="0" fillId="0" borderId="8" xfId="0" applyNumberFormat="1" applyBorder="1"/>
    <xf numFmtId="9" fontId="0" fillId="0" borderId="9" xfId="0" applyNumberForma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165" fontId="4" fillId="0" borderId="8" xfId="1" applyNumberFormat="1" applyFont="1" applyBorder="1"/>
    <xf numFmtId="165" fontId="4" fillId="0" borderId="9" xfId="1" applyNumberFormat="1" applyFont="1" applyBorder="1"/>
    <xf numFmtId="165" fontId="2" fillId="2" borderId="10" xfId="0" applyNumberFormat="1" applyFont="1" applyFill="1" applyBorder="1"/>
    <xf numFmtId="165" fontId="2" fillId="2" borderId="11" xfId="0" applyNumberFormat="1" applyFont="1" applyFill="1" applyBorder="1"/>
    <xf numFmtId="165" fontId="4" fillId="0" borderId="6" xfId="1" applyNumberFormat="1" applyFont="1" applyBorder="1"/>
    <xf numFmtId="165" fontId="4" fillId="0" borderId="7" xfId="1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0" fontId="0" fillId="0" borderId="1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0" fillId="0" borderId="1" xfId="0" applyBorder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/>
    <xf numFmtId="165" fontId="2" fillId="0" borderId="0" xfId="1" applyNumberFormat="1" applyFont="1" applyBorder="1"/>
    <xf numFmtId="165" fontId="2" fillId="0" borderId="8" xfId="1" applyNumberFormat="1" applyFont="1" applyBorder="1"/>
    <xf numFmtId="165" fontId="2" fillId="0" borderId="9" xfId="1" applyNumberFormat="1" applyFont="1" applyBorder="1"/>
    <xf numFmtId="0" fontId="2" fillId="0" borderId="0" xfId="0" applyFont="1" applyAlignment="1">
      <alignment horizontal="left" indent="1"/>
    </xf>
    <xf numFmtId="165" fontId="2" fillId="0" borderId="0" xfId="1" applyNumberFormat="1" applyFont="1"/>
    <xf numFmtId="165" fontId="0" fillId="0" borderId="1" xfId="1" applyNumberFormat="1" applyFont="1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165" fontId="0" fillId="0" borderId="1" xfId="0" applyNumberFormat="1" applyBorder="1"/>
    <xf numFmtId="165" fontId="5" fillId="0" borderId="0" xfId="1" applyNumberFormat="1" applyFont="1" applyBorder="1"/>
    <xf numFmtId="165" fontId="5" fillId="0" borderId="1" xfId="1" applyNumberFormat="1" applyFont="1" applyBorder="1"/>
    <xf numFmtId="165" fontId="6" fillId="0" borderId="0" xfId="0" applyNumberFormat="1" applyFont="1"/>
    <xf numFmtId="165" fontId="4" fillId="3" borderId="0" xfId="1" applyNumberFormat="1" applyFont="1" applyFill="1" applyBorder="1"/>
    <xf numFmtId="165" fontId="4" fillId="3" borderId="1" xfId="1" applyNumberFormat="1" applyFont="1" applyFill="1" applyBorder="1"/>
    <xf numFmtId="165" fontId="5" fillId="0" borderId="6" xfId="1" applyNumberFormat="1" applyFont="1" applyBorder="1"/>
    <xf numFmtId="165" fontId="5" fillId="0" borderId="7" xfId="1" applyNumberFormat="1" applyFont="1" applyBorder="1"/>
    <xf numFmtId="14" fontId="0" fillId="0" borderId="0" xfId="0" applyNumberFormat="1"/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0" fontId="8" fillId="0" borderId="0" xfId="2"/>
    <xf numFmtId="0" fontId="9" fillId="0" borderId="1" xfId="2" applyFont="1" applyBorder="1" applyAlignment="1">
      <alignment horizontal="center" wrapText="1"/>
    </xf>
    <xf numFmtId="0" fontId="10" fillId="0" borderId="0" xfId="2" applyFont="1" applyAlignment="1">
      <alignment horizontal="left" wrapText="1"/>
    </xf>
    <xf numFmtId="0" fontId="11" fillId="0" borderId="0" xfId="2" applyFont="1" applyAlignment="1">
      <alignment horizontal="left" wrapText="1"/>
    </xf>
    <xf numFmtId="166" fontId="11" fillId="0" borderId="0" xfId="2" applyNumberFormat="1" applyFont="1" applyAlignment="1">
      <alignment horizontal="right" wrapText="1"/>
    </xf>
    <xf numFmtId="167" fontId="10" fillId="0" borderId="12" xfId="2" applyNumberFormat="1" applyFont="1" applyBorder="1" applyAlignment="1">
      <alignment horizontal="right" wrapText="1"/>
    </xf>
    <xf numFmtId="14" fontId="11" fillId="0" borderId="0" xfId="2" applyNumberFormat="1" applyFont="1" applyAlignment="1">
      <alignment horizontal="left" wrapText="1"/>
    </xf>
    <xf numFmtId="0" fontId="12" fillId="0" borderId="0" xfId="2" applyFont="1" applyAlignment="1">
      <alignment horizontal="left" wrapText="1"/>
    </xf>
    <xf numFmtId="0" fontId="0" fillId="0" borderId="3" xfId="0" applyBorder="1"/>
    <xf numFmtId="0" fontId="0" fillId="0" borderId="4" xfId="0" applyBorder="1"/>
    <xf numFmtId="165" fontId="0" fillId="0" borderId="5" xfId="0" applyNumberFormat="1" applyBorder="1"/>
    <xf numFmtId="165" fontId="0" fillId="0" borderId="2" xfId="1" applyNumberFormat="1" applyFont="1" applyBorder="1"/>
  </cellXfs>
  <cellStyles count="3">
    <cellStyle name="Currency" xfId="1" builtinId="4"/>
    <cellStyle name="Normal" xfId="0" builtinId="0"/>
    <cellStyle name="Normal 2" xfId="2" xr:uid="{18C59BC2-CD70-4606-A15C-B01A8792DE12}"/>
  </cellStyles>
  <dxfs count="0"/>
  <tableStyles count="0" defaultTableStyle="TableStyleMedium2" defaultPivotStyle="PivotStyleLight16"/>
  <colors>
    <mruColors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29</xdr:row>
      <xdr:rowOff>0</xdr:rowOff>
    </xdr:from>
    <xdr:to>
      <xdr:col>41</xdr:col>
      <xdr:colOff>532633</xdr:colOff>
      <xdr:row>72</xdr:row>
      <xdr:rowOff>122268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C8F2C-981F-8DFE-24F0-37F361015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0" y="4803321"/>
          <a:ext cx="14003704" cy="7773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61AE-42F8-4153-AB39-7C82D14CA04B}">
  <dimension ref="B3:AF47"/>
  <sheetViews>
    <sheetView tabSelected="1" zoomScale="85" zoomScaleNormal="85" workbookViewId="0">
      <selection activeCell="G21" sqref="G21"/>
    </sheetView>
  </sheetViews>
  <sheetFormatPr defaultRowHeight="14.5" x14ac:dyDescent="0.35"/>
  <cols>
    <col min="6" max="6" width="10.1796875" bestFit="1" customWidth="1"/>
    <col min="7" max="7" width="9.6328125" bestFit="1" customWidth="1"/>
    <col min="18" max="18" width="12.6328125" customWidth="1"/>
  </cols>
  <sheetData>
    <row r="3" spans="2:32" x14ac:dyDescent="0.35">
      <c r="B3" t="s">
        <v>0</v>
      </c>
      <c r="F3" s="8">
        <v>4500</v>
      </c>
    </row>
    <row r="5" spans="2:32" x14ac:dyDescent="0.35">
      <c r="G5" s="41" t="s">
        <v>24</v>
      </c>
      <c r="H5" s="39"/>
      <c r="I5" s="39"/>
      <c r="J5" s="39"/>
      <c r="K5" s="39"/>
      <c r="L5" s="39"/>
      <c r="M5" s="40"/>
      <c r="N5" s="26"/>
    </row>
    <row r="6" spans="2:32" x14ac:dyDescent="0.35">
      <c r="G6" s="41" t="s">
        <v>23</v>
      </c>
      <c r="H6" s="39"/>
      <c r="I6" s="39"/>
      <c r="J6" s="39"/>
      <c r="K6" s="39"/>
      <c r="M6" s="25"/>
      <c r="N6" s="26"/>
      <c r="R6" s="21" t="s">
        <v>25</v>
      </c>
    </row>
    <row r="7" spans="2:32" x14ac:dyDescent="0.35">
      <c r="B7" s="3" t="s">
        <v>22</v>
      </c>
      <c r="C7" s="3"/>
      <c r="D7" s="3"/>
      <c r="E7" s="3"/>
      <c r="F7" s="3"/>
      <c r="G7" s="22">
        <v>1</v>
      </c>
      <c r="H7" s="22">
        <f>+G7+1</f>
        <v>2</v>
      </c>
      <c r="I7" s="22">
        <f t="shared" ref="I7:P7" si="0">+H7+1</f>
        <v>3</v>
      </c>
      <c r="J7" s="22">
        <f t="shared" si="0"/>
        <v>4</v>
      </c>
      <c r="K7" s="23">
        <f t="shared" si="0"/>
        <v>5</v>
      </c>
      <c r="L7" s="24">
        <f t="shared" si="0"/>
        <v>6</v>
      </c>
      <c r="M7" s="23">
        <f t="shared" si="0"/>
        <v>7</v>
      </c>
      <c r="N7" s="24">
        <f t="shared" si="0"/>
        <v>8</v>
      </c>
      <c r="O7" s="22">
        <f t="shared" si="0"/>
        <v>9</v>
      </c>
      <c r="P7" s="22">
        <f t="shared" si="0"/>
        <v>10</v>
      </c>
      <c r="R7" s="22" t="s">
        <v>26</v>
      </c>
    </row>
    <row r="8" spans="2:32" x14ac:dyDescent="0.35">
      <c r="K8" s="25"/>
      <c r="L8" s="26"/>
      <c r="M8" s="25"/>
      <c r="N8" s="26"/>
    </row>
    <row r="9" spans="2:32" x14ac:dyDescent="0.35">
      <c r="B9" s="5" t="s">
        <v>1</v>
      </c>
      <c r="K9" s="25"/>
      <c r="L9" s="26"/>
      <c r="M9" s="25"/>
      <c r="N9" s="26"/>
    </row>
    <row r="10" spans="2:32" x14ac:dyDescent="0.35">
      <c r="B10" s="11" t="s">
        <v>2</v>
      </c>
      <c r="C10" s="6"/>
      <c r="D10" s="6"/>
      <c r="E10" s="6"/>
      <c r="F10" s="6"/>
      <c r="G10" s="7">
        <v>1</v>
      </c>
      <c r="H10" s="7">
        <f>+MAX(G10-20%,0)</f>
        <v>0.8</v>
      </c>
      <c r="I10" s="7">
        <f t="shared" ref="I10:P10" si="1">+MAX(H10-20%,0)</f>
        <v>0.60000000000000009</v>
      </c>
      <c r="J10" s="7">
        <f t="shared" si="1"/>
        <v>0.40000000000000008</v>
      </c>
      <c r="K10" s="27">
        <f t="shared" si="1"/>
        <v>0.20000000000000007</v>
      </c>
      <c r="L10" s="28">
        <f t="shared" si="1"/>
        <v>5.5511151231257827E-17</v>
      </c>
      <c r="M10" s="27">
        <f t="shared" si="1"/>
        <v>0</v>
      </c>
      <c r="N10" s="28">
        <f t="shared" si="1"/>
        <v>0</v>
      </c>
      <c r="O10" s="7">
        <f t="shared" si="1"/>
        <v>0</v>
      </c>
      <c r="P10" s="7">
        <f t="shared" si="1"/>
        <v>0</v>
      </c>
      <c r="R10" s="7"/>
    </row>
    <row r="11" spans="2:32" x14ac:dyDescent="0.35">
      <c r="B11" s="43" t="s">
        <v>3</v>
      </c>
      <c r="C11" s="44"/>
      <c r="D11" s="44"/>
      <c r="E11" s="44"/>
      <c r="F11" s="44"/>
      <c r="G11" s="45">
        <f>+G10*$F$3</f>
        <v>4500</v>
      </c>
      <c r="H11" s="45">
        <f t="shared" ref="H11:J11" si="2">+H10*$F$3</f>
        <v>3600</v>
      </c>
      <c r="I11" s="45">
        <f t="shared" si="2"/>
        <v>2700.0000000000005</v>
      </c>
      <c r="J11" s="45">
        <f t="shared" si="2"/>
        <v>1800.0000000000005</v>
      </c>
      <c r="K11" s="46">
        <f t="shared" ref="K11" si="3">+K10*$F$3</f>
        <v>900.00000000000034</v>
      </c>
      <c r="L11" s="47">
        <f t="shared" ref="L11" si="4">+L10*$F$3</f>
        <v>2.4980018054066022E-13</v>
      </c>
      <c r="M11" s="46">
        <f t="shared" ref="M11" si="5">+M10*$F$3</f>
        <v>0</v>
      </c>
      <c r="N11" s="47">
        <f t="shared" ref="N11" si="6">+N10*$F$3</f>
        <v>0</v>
      </c>
      <c r="O11" s="45">
        <f t="shared" ref="O11" si="7">+O10*$F$3</f>
        <v>0</v>
      </c>
      <c r="P11" s="45">
        <f t="shared" ref="P11" si="8">+P10*$F$3</f>
        <v>0</v>
      </c>
      <c r="Q11" s="4"/>
      <c r="R11" s="45">
        <f>+SUM(G11:P11)</f>
        <v>13500</v>
      </c>
    </row>
    <row r="12" spans="2:32" x14ac:dyDescent="0.35">
      <c r="K12" s="25"/>
      <c r="L12" s="26"/>
      <c r="M12" s="25"/>
      <c r="N12" s="26"/>
    </row>
    <row r="13" spans="2:32" x14ac:dyDescent="0.35">
      <c r="B13" s="5" t="s">
        <v>4</v>
      </c>
      <c r="K13" s="25"/>
      <c r="L13" s="26"/>
      <c r="M13" s="25"/>
      <c r="N13" s="26"/>
    </row>
    <row r="14" spans="2:32" x14ac:dyDescent="0.35">
      <c r="B14" s="11" t="s">
        <v>5</v>
      </c>
      <c r="C14" s="6"/>
      <c r="D14" s="6"/>
      <c r="E14" s="6"/>
      <c r="F14" s="6"/>
      <c r="G14" s="13">
        <v>0.25</v>
      </c>
      <c r="H14" s="7">
        <f>+G14</f>
        <v>0.25</v>
      </c>
      <c r="I14" s="7">
        <f t="shared" ref="I14:P14" si="9">+H14</f>
        <v>0.25</v>
      </c>
      <c r="J14" s="7">
        <f t="shared" si="9"/>
        <v>0.25</v>
      </c>
      <c r="K14" s="27">
        <f t="shared" si="9"/>
        <v>0.25</v>
      </c>
      <c r="L14" s="28">
        <f t="shared" si="9"/>
        <v>0.25</v>
      </c>
      <c r="M14" s="27">
        <f t="shared" si="9"/>
        <v>0.25</v>
      </c>
      <c r="N14" s="28">
        <f t="shared" si="9"/>
        <v>0.25</v>
      </c>
      <c r="O14" s="7">
        <f t="shared" si="9"/>
        <v>0.25</v>
      </c>
      <c r="P14" s="7">
        <f t="shared" si="9"/>
        <v>0.25</v>
      </c>
      <c r="R14" s="7"/>
      <c r="AF14" s="2"/>
    </row>
    <row r="15" spans="2:32" x14ac:dyDescent="0.35">
      <c r="B15" s="11" t="s">
        <v>6</v>
      </c>
      <c r="C15" s="6"/>
      <c r="D15" s="6"/>
      <c r="E15" s="6"/>
      <c r="F15" s="6"/>
      <c r="G15" s="9">
        <v>40000</v>
      </c>
      <c r="H15" s="10">
        <f>+G15</f>
        <v>40000</v>
      </c>
      <c r="I15" s="10">
        <f t="shared" ref="I15:P15" si="10">+H15</f>
        <v>40000</v>
      </c>
      <c r="J15" s="10">
        <f t="shared" si="10"/>
        <v>40000</v>
      </c>
      <c r="K15" s="29">
        <f t="shared" si="10"/>
        <v>40000</v>
      </c>
      <c r="L15" s="30">
        <f t="shared" si="10"/>
        <v>40000</v>
      </c>
      <c r="M15" s="29">
        <f t="shared" si="10"/>
        <v>40000</v>
      </c>
      <c r="N15" s="30">
        <f t="shared" si="10"/>
        <v>40000</v>
      </c>
      <c r="O15" s="10">
        <f t="shared" si="10"/>
        <v>40000</v>
      </c>
      <c r="P15" s="10">
        <f t="shared" si="10"/>
        <v>40000</v>
      </c>
      <c r="R15" s="10"/>
    </row>
    <row r="16" spans="2:32" x14ac:dyDescent="0.35">
      <c r="B16" s="42" t="s">
        <v>16</v>
      </c>
      <c r="C16" s="3"/>
      <c r="D16" s="3"/>
      <c r="E16" s="3"/>
      <c r="F16" s="3"/>
      <c r="G16" s="50">
        <f>+G15*G17</f>
        <v>6000</v>
      </c>
      <c r="H16" s="50">
        <f t="shared" ref="H16:P16" si="11">+H15*H17</f>
        <v>6000</v>
      </c>
      <c r="I16" s="50">
        <f t="shared" si="11"/>
        <v>6000</v>
      </c>
      <c r="J16" s="50">
        <f t="shared" si="11"/>
        <v>6000</v>
      </c>
      <c r="K16" s="51">
        <f t="shared" si="11"/>
        <v>6000</v>
      </c>
      <c r="L16" s="52">
        <f t="shared" si="11"/>
        <v>6000</v>
      </c>
      <c r="M16" s="51">
        <f t="shared" si="11"/>
        <v>6000</v>
      </c>
      <c r="N16" s="52">
        <f t="shared" si="11"/>
        <v>6000</v>
      </c>
      <c r="O16" s="50">
        <f t="shared" si="11"/>
        <v>6000</v>
      </c>
      <c r="P16" s="50">
        <f t="shared" si="11"/>
        <v>6000</v>
      </c>
      <c r="R16" s="10"/>
    </row>
    <row r="17" spans="2:18" x14ac:dyDescent="0.35">
      <c r="B17" s="11" t="s">
        <v>18</v>
      </c>
      <c r="C17" s="6"/>
      <c r="D17" s="6"/>
      <c r="E17" s="6"/>
      <c r="F17" s="6"/>
      <c r="G17" s="13">
        <v>0.15</v>
      </c>
      <c r="H17" s="7">
        <f>+G17</f>
        <v>0.15</v>
      </c>
      <c r="I17" s="7">
        <f t="shared" ref="I17:P17" si="12">+H17</f>
        <v>0.15</v>
      </c>
      <c r="J17" s="7">
        <f t="shared" si="12"/>
        <v>0.15</v>
      </c>
      <c r="K17" s="27">
        <f t="shared" si="12"/>
        <v>0.15</v>
      </c>
      <c r="L17" s="28">
        <f t="shared" si="12"/>
        <v>0.15</v>
      </c>
      <c r="M17" s="27">
        <f t="shared" si="12"/>
        <v>0.15</v>
      </c>
      <c r="N17" s="28">
        <f t="shared" si="12"/>
        <v>0.15</v>
      </c>
      <c r="O17" s="7">
        <f t="shared" si="12"/>
        <v>0.15</v>
      </c>
      <c r="P17" s="7">
        <f t="shared" si="12"/>
        <v>0.15</v>
      </c>
      <c r="R17" s="7"/>
    </row>
    <row r="18" spans="2:18" x14ac:dyDescent="0.35">
      <c r="B18" s="42" t="s">
        <v>17</v>
      </c>
      <c r="C18" s="3"/>
      <c r="D18" s="3"/>
      <c r="E18" s="3"/>
      <c r="F18" s="3"/>
      <c r="G18" s="19">
        <f>+G15-G16</f>
        <v>34000</v>
      </c>
      <c r="H18" s="19">
        <f t="shared" ref="H18:P18" si="13">+H15-H16</f>
        <v>34000</v>
      </c>
      <c r="I18" s="19">
        <f t="shared" si="13"/>
        <v>34000</v>
      </c>
      <c r="J18" s="19">
        <f t="shared" si="13"/>
        <v>34000</v>
      </c>
      <c r="K18" s="35">
        <f t="shared" si="13"/>
        <v>34000</v>
      </c>
      <c r="L18" s="36">
        <f t="shared" si="13"/>
        <v>34000</v>
      </c>
      <c r="M18" s="35">
        <f t="shared" si="13"/>
        <v>34000</v>
      </c>
      <c r="N18" s="36">
        <f t="shared" si="13"/>
        <v>34000</v>
      </c>
      <c r="O18" s="19">
        <f t="shared" si="13"/>
        <v>34000</v>
      </c>
      <c r="P18" s="19">
        <f t="shared" si="13"/>
        <v>34000</v>
      </c>
      <c r="Q18" s="3"/>
      <c r="R18" s="19"/>
    </row>
    <row r="19" spans="2:18" x14ac:dyDescent="0.35">
      <c r="B19" s="48" t="s">
        <v>7</v>
      </c>
      <c r="C19" s="4"/>
      <c r="D19" s="4"/>
      <c r="E19" s="4"/>
      <c r="F19" s="4"/>
      <c r="G19" s="49">
        <f>+G14*G18</f>
        <v>8500</v>
      </c>
      <c r="H19" s="49">
        <f>+H14*H18</f>
        <v>8500</v>
      </c>
      <c r="I19" s="49">
        <f>+I14*I18</f>
        <v>8500</v>
      </c>
      <c r="J19" s="49">
        <f>+J14*J18</f>
        <v>8500</v>
      </c>
      <c r="K19" s="46">
        <f>+K14*K18</f>
        <v>8500</v>
      </c>
      <c r="L19" s="47">
        <f>+L14*L18</f>
        <v>8500</v>
      </c>
      <c r="M19" s="46">
        <f>+M14*M18</f>
        <v>8500</v>
      </c>
      <c r="N19" s="47">
        <f>+N14*N18</f>
        <v>8500</v>
      </c>
      <c r="O19" s="49">
        <f>+O14*O18</f>
        <v>8500</v>
      </c>
      <c r="P19" s="49">
        <f>+P14*P18</f>
        <v>8500</v>
      </c>
      <c r="Q19" s="4"/>
      <c r="R19" s="49">
        <f>+SUM(G19:P19)</f>
        <v>85000</v>
      </c>
    </row>
    <row r="20" spans="2:18" x14ac:dyDescent="0.35">
      <c r="K20" s="25"/>
      <c r="L20" s="26"/>
      <c r="M20" s="25"/>
      <c r="N20" s="26"/>
    </row>
    <row r="21" spans="2:18" x14ac:dyDescent="0.35">
      <c r="B21" s="5" t="s">
        <v>8</v>
      </c>
      <c r="K21" s="25"/>
      <c r="L21" s="26"/>
      <c r="M21" s="25"/>
      <c r="N21" s="26"/>
    </row>
    <row r="22" spans="2:18" x14ac:dyDescent="0.35">
      <c r="B22" s="11" t="s">
        <v>5</v>
      </c>
      <c r="C22" s="6"/>
      <c r="D22" s="6"/>
      <c r="E22" s="6"/>
      <c r="F22" s="6"/>
      <c r="G22" s="13">
        <v>0</v>
      </c>
      <c r="H22" s="7">
        <f>+G22</f>
        <v>0</v>
      </c>
      <c r="I22" s="7">
        <f t="shared" ref="I22:P22" si="14">+H22</f>
        <v>0</v>
      </c>
      <c r="J22" s="7">
        <f t="shared" si="14"/>
        <v>0</v>
      </c>
      <c r="K22" s="27">
        <f t="shared" si="14"/>
        <v>0</v>
      </c>
      <c r="L22" s="28">
        <f t="shared" si="14"/>
        <v>0</v>
      </c>
      <c r="M22" s="27">
        <f t="shared" si="14"/>
        <v>0</v>
      </c>
      <c r="N22" s="28">
        <f t="shared" si="14"/>
        <v>0</v>
      </c>
      <c r="O22" s="7">
        <f t="shared" si="14"/>
        <v>0</v>
      </c>
      <c r="P22" s="7">
        <f t="shared" si="14"/>
        <v>0</v>
      </c>
      <c r="R22" s="7"/>
    </row>
    <row r="23" spans="2:18" x14ac:dyDescent="0.35">
      <c r="B23" s="42" t="s">
        <v>28</v>
      </c>
      <c r="C23" s="3"/>
      <c r="D23" s="3"/>
      <c r="E23" s="3"/>
      <c r="F23" s="3"/>
      <c r="G23" s="19">
        <v>25000</v>
      </c>
      <c r="H23" s="50">
        <f>+G23</f>
        <v>25000</v>
      </c>
      <c r="I23" s="50">
        <f t="shared" ref="I23:P23" si="15">+H23</f>
        <v>25000</v>
      </c>
      <c r="J23" s="50">
        <f t="shared" si="15"/>
        <v>25000</v>
      </c>
      <c r="K23" s="51">
        <f t="shared" si="15"/>
        <v>25000</v>
      </c>
      <c r="L23" s="52">
        <f t="shared" si="15"/>
        <v>25000</v>
      </c>
      <c r="M23" s="51">
        <f t="shared" si="15"/>
        <v>25000</v>
      </c>
      <c r="N23" s="52">
        <f t="shared" si="15"/>
        <v>25000</v>
      </c>
      <c r="O23" s="50">
        <f t="shared" si="15"/>
        <v>25000</v>
      </c>
      <c r="P23" s="50">
        <f t="shared" si="15"/>
        <v>25000</v>
      </c>
      <c r="Q23" s="3"/>
      <c r="R23" s="50"/>
    </row>
    <row r="24" spans="2:18" x14ac:dyDescent="0.35">
      <c r="B24" s="12" t="s">
        <v>27</v>
      </c>
      <c r="G24" s="1">
        <f>+G22*G23</f>
        <v>0</v>
      </c>
      <c r="H24" s="1">
        <f t="shared" ref="H24" si="16">+H22*H23</f>
        <v>0</v>
      </c>
      <c r="I24" s="1">
        <f t="shared" ref="I24" si="17">+I22*I23</f>
        <v>0</v>
      </c>
      <c r="J24" s="1">
        <f t="shared" ref="J24" si="18">+J22*J23</f>
        <v>0</v>
      </c>
      <c r="K24" s="29">
        <f t="shared" ref="K24" si="19">+K22*K23</f>
        <v>0</v>
      </c>
      <c r="L24" s="30">
        <f t="shared" ref="L24" si="20">+L22*L23</f>
        <v>0</v>
      </c>
      <c r="M24" s="29">
        <f t="shared" ref="M24" si="21">+M22*M23</f>
        <v>0</v>
      </c>
      <c r="N24" s="30">
        <f t="shared" ref="N24" si="22">+N22*N23</f>
        <v>0</v>
      </c>
      <c r="O24" s="1">
        <f t="shared" ref="O24" si="23">+O22*O23</f>
        <v>0</v>
      </c>
      <c r="P24" s="1">
        <f t="shared" ref="P24" si="24">+P22*P23</f>
        <v>0</v>
      </c>
      <c r="R24" s="1">
        <f>+SUM(G24:P24)</f>
        <v>0</v>
      </c>
    </row>
    <row r="25" spans="2:18" ht="15" thickBot="1" x14ac:dyDescent="0.4">
      <c r="K25" s="25"/>
      <c r="L25" s="26"/>
      <c r="M25" s="25"/>
      <c r="N25" s="26"/>
    </row>
    <row r="26" spans="2:18" ht="15" thickBot="1" x14ac:dyDescent="0.4">
      <c r="B26" s="15" t="s">
        <v>9</v>
      </c>
      <c r="C26" s="16"/>
      <c r="D26" s="16"/>
      <c r="E26" s="16"/>
      <c r="F26" s="16"/>
      <c r="G26" s="17">
        <f>+G11+G19+G24</f>
        <v>13000</v>
      </c>
      <c r="H26" s="17">
        <f>+H11+H19+H24</f>
        <v>12100</v>
      </c>
      <c r="I26" s="17">
        <f>+I11+I19+I24</f>
        <v>11200</v>
      </c>
      <c r="J26" s="17">
        <f>+J11+J19+J24</f>
        <v>10300</v>
      </c>
      <c r="K26" s="33">
        <f>+K11+K19+K24</f>
        <v>9400</v>
      </c>
      <c r="L26" s="34">
        <f>+L11+L19+L24</f>
        <v>8500</v>
      </c>
      <c r="M26" s="33">
        <f>+M11+M19+M24</f>
        <v>8500</v>
      </c>
      <c r="N26" s="34">
        <f>+N11+N19+N24</f>
        <v>8500</v>
      </c>
      <c r="O26" s="17">
        <f>+O11+O19+O24</f>
        <v>8500</v>
      </c>
      <c r="P26" s="18">
        <f>+P11+P19+P24</f>
        <v>8500</v>
      </c>
      <c r="R26" s="17">
        <f>+R11+R19+R24</f>
        <v>98500</v>
      </c>
    </row>
    <row r="27" spans="2:18" x14ac:dyDescent="0.35">
      <c r="K27" s="25"/>
      <c r="L27" s="26"/>
      <c r="M27" s="25"/>
      <c r="N27" s="26"/>
    </row>
    <row r="28" spans="2:18" x14ac:dyDescent="0.35">
      <c r="K28" s="25"/>
      <c r="L28" s="26"/>
      <c r="M28" s="25"/>
      <c r="N28" s="26"/>
    </row>
    <row r="29" spans="2:18" x14ac:dyDescent="0.35">
      <c r="B29" s="5" t="s">
        <v>10</v>
      </c>
      <c r="K29" s="25"/>
      <c r="L29" s="26"/>
      <c r="M29" s="25"/>
      <c r="N29" s="26"/>
    </row>
    <row r="30" spans="2:18" x14ac:dyDescent="0.35">
      <c r="B30" t="s">
        <v>11</v>
      </c>
      <c r="G30" s="9">
        <v>7800</v>
      </c>
      <c r="H30" s="9">
        <f>+G30*1.05</f>
        <v>8190</v>
      </c>
      <c r="I30" s="9">
        <f t="shared" ref="I30:P30" si="25">+H30*1.05</f>
        <v>8599.5</v>
      </c>
      <c r="J30" s="9">
        <f t="shared" si="25"/>
        <v>9029.4750000000004</v>
      </c>
      <c r="K30" s="31">
        <f t="shared" si="25"/>
        <v>9480.9487500000014</v>
      </c>
      <c r="L30" s="32">
        <f t="shared" si="25"/>
        <v>9954.9961875000026</v>
      </c>
      <c r="M30" s="31">
        <f t="shared" si="25"/>
        <v>10452.745996875003</v>
      </c>
      <c r="N30" s="32">
        <f t="shared" si="25"/>
        <v>10975.383296718754</v>
      </c>
      <c r="O30" s="9">
        <f t="shared" si="25"/>
        <v>11524.152461554691</v>
      </c>
      <c r="P30" s="9">
        <f t="shared" si="25"/>
        <v>12100.360084632426</v>
      </c>
      <c r="R30" s="54">
        <f t="shared" ref="R30:R32" si="26">+SUM(G30:P30)</f>
        <v>98107.561777280876</v>
      </c>
    </row>
    <row r="31" spans="2:18" x14ac:dyDescent="0.35">
      <c r="B31" s="3" t="s">
        <v>21</v>
      </c>
      <c r="C31" s="3"/>
      <c r="D31" s="3"/>
      <c r="E31" s="3"/>
      <c r="F31" s="3"/>
      <c r="G31" s="58">
        <v>1500</v>
      </c>
      <c r="H31" s="55">
        <f>+G31</f>
        <v>1500</v>
      </c>
      <c r="I31" s="55">
        <f t="shared" ref="I31:P31" si="27">+H31</f>
        <v>1500</v>
      </c>
      <c r="J31" s="55">
        <f t="shared" si="27"/>
        <v>1500</v>
      </c>
      <c r="K31" s="59">
        <f t="shared" si="27"/>
        <v>1500</v>
      </c>
      <c r="L31" s="60">
        <f t="shared" si="27"/>
        <v>1500</v>
      </c>
      <c r="M31" s="59">
        <f t="shared" si="27"/>
        <v>1500</v>
      </c>
      <c r="N31" s="60">
        <f t="shared" si="27"/>
        <v>1500</v>
      </c>
      <c r="O31" s="55">
        <f t="shared" si="27"/>
        <v>1500</v>
      </c>
      <c r="P31" s="55">
        <f t="shared" si="27"/>
        <v>1500</v>
      </c>
      <c r="R31" s="55">
        <f t="shared" si="26"/>
        <v>15000</v>
      </c>
    </row>
    <row r="32" spans="2:18" x14ac:dyDescent="0.35">
      <c r="B32" s="4" t="s">
        <v>19</v>
      </c>
      <c r="C32" s="4"/>
      <c r="D32" s="4"/>
      <c r="E32" s="4"/>
      <c r="F32" s="4"/>
      <c r="G32" s="20">
        <f>SUM(G30:G31)</f>
        <v>9300</v>
      </c>
      <c r="H32" s="20">
        <f t="shared" ref="H32:P32" si="28">SUM(H30:H31)</f>
        <v>9690</v>
      </c>
      <c r="I32" s="20">
        <f t="shared" si="28"/>
        <v>10099.5</v>
      </c>
      <c r="J32" s="20">
        <f t="shared" si="28"/>
        <v>10529.475</v>
      </c>
      <c r="K32" s="37">
        <f t="shared" si="28"/>
        <v>10980.948750000001</v>
      </c>
      <c r="L32" s="38">
        <f t="shared" si="28"/>
        <v>11454.996187500003</v>
      </c>
      <c r="M32" s="37">
        <f t="shared" si="28"/>
        <v>11952.745996875003</v>
      </c>
      <c r="N32" s="38">
        <f t="shared" si="28"/>
        <v>12475.383296718754</v>
      </c>
      <c r="O32" s="20">
        <f t="shared" si="28"/>
        <v>13024.152461554691</v>
      </c>
      <c r="P32" s="20">
        <f t="shared" si="28"/>
        <v>13600.360084632426</v>
      </c>
      <c r="R32" s="56">
        <f t="shared" si="26"/>
        <v>113107.56177728088</v>
      </c>
    </row>
    <row r="33" spans="2:18" ht="15" thickBot="1" x14ac:dyDescent="0.4">
      <c r="K33" s="25"/>
      <c r="L33" s="26"/>
      <c r="M33" s="25"/>
      <c r="N33" s="26"/>
    </row>
    <row r="34" spans="2:18" ht="15" thickBot="1" x14ac:dyDescent="0.4">
      <c r="B34" s="15" t="s">
        <v>20</v>
      </c>
      <c r="C34" s="16"/>
      <c r="D34" s="16"/>
      <c r="E34" s="16"/>
      <c r="F34" s="16"/>
      <c r="G34" s="17">
        <f>+G26-G32</f>
        <v>3700</v>
      </c>
      <c r="H34" s="17">
        <f t="shared" ref="H34:P34" si="29">+H26-H32</f>
        <v>2410</v>
      </c>
      <c r="I34" s="17">
        <f t="shared" si="29"/>
        <v>1100.5</v>
      </c>
      <c r="J34" s="17">
        <f t="shared" si="29"/>
        <v>-229.47500000000036</v>
      </c>
      <c r="K34" s="33">
        <f t="shared" si="29"/>
        <v>-1580.9487500000014</v>
      </c>
      <c r="L34" s="34">
        <f t="shared" si="29"/>
        <v>-2954.9961875000026</v>
      </c>
      <c r="M34" s="33">
        <f t="shared" si="29"/>
        <v>-3452.7459968750027</v>
      </c>
      <c r="N34" s="34">
        <f t="shared" si="29"/>
        <v>-3975.3832967187536</v>
      </c>
      <c r="O34" s="17">
        <f t="shared" si="29"/>
        <v>-4524.1524615546914</v>
      </c>
      <c r="P34" s="18">
        <f t="shared" si="29"/>
        <v>-5100.3600846324262</v>
      </c>
      <c r="R34" s="17">
        <f>+SUM(G34:P34)</f>
        <v>-14607.561777280878</v>
      </c>
    </row>
    <row r="35" spans="2:18" x14ac:dyDescent="0.35">
      <c r="K35" s="25"/>
      <c r="L35" s="26"/>
      <c r="M35" s="25"/>
      <c r="N35" s="26"/>
    </row>
    <row r="36" spans="2:18" x14ac:dyDescent="0.35">
      <c r="K36" s="25"/>
      <c r="L36" s="26"/>
      <c r="M36" s="25"/>
      <c r="N36" s="26"/>
    </row>
    <row r="37" spans="2:18" x14ac:dyDescent="0.35">
      <c r="B37" s="5" t="s">
        <v>15</v>
      </c>
    </row>
    <row r="38" spans="2:18" x14ac:dyDescent="0.35">
      <c r="B38" t="s">
        <v>12</v>
      </c>
      <c r="G38" s="9">
        <v>21000</v>
      </c>
      <c r="H38" s="9"/>
      <c r="I38" s="9"/>
      <c r="J38" s="9"/>
      <c r="K38" s="9"/>
      <c r="L38" s="9"/>
      <c r="M38" s="9"/>
      <c r="N38" s="9"/>
      <c r="O38" s="9"/>
      <c r="P38" s="9"/>
      <c r="R38" s="9"/>
    </row>
    <row r="39" spans="2:18" x14ac:dyDescent="0.35">
      <c r="B39" t="s">
        <v>13</v>
      </c>
      <c r="G39" s="9">
        <v>27000</v>
      </c>
    </row>
    <row r="40" spans="2:18" x14ac:dyDescent="0.35">
      <c r="B40" t="s">
        <v>14</v>
      </c>
      <c r="G40" s="9">
        <v>36000</v>
      </c>
    </row>
    <row r="43" spans="2:18" x14ac:dyDescent="0.35">
      <c r="B43" s="5" t="s">
        <v>29</v>
      </c>
    </row>
    <row r="44" spans="2:18" x14ac:dyDescent="0.35">
      <c r="B44" s="12" t="s">
        <v>30</v>
      </c>
      <c r="G44" s="57">
        <v>-30000</v>
      </c>
      <c r="R44" s="54">
        <f t="shared" ref="R44:R47" si="30">+SUM(G44:P44)</f>
        <v>-30000</v>
      </c>
    </row>
    <row r="45" spans="2:18" x14ac:dyDescent="0.35">
      <c r="B45" s="12" t="s">
        <v>32</v>
      </c>
      <c r="G45" s="9">
        <v>250</v>
      </c>
      <c r="H45" s="14">
        <f>+G45</f>
        <v>250</v>
      </c>
      <c r="I45" s="14">
        <f t="shared" ref="I45:P45" si="31">+H45</f>
        <v>250</v>
      </c>
      <c r="J45" s="14">
        <f t="shared" si="31"/>
        <v>250</v>
      </c>
      <c r="K45" s="14">
        <f t="shared" si="31"/>
        <v>250</v>
      </c>
      <c r="L45" s="14">
        <f t="shared" si="31"/>
        <v>250</v>
      </c>
      <c r="M45" s="14">
        <f t="shared" si="31"/>
        <v>250</v>
      </c>
      <c r="N45" s="14">
        <f t="shared" si="31"/>
        <v>250</v>
      </c>
      <c r="O45" s="14">
        <f t="shared" si="31"/>
        <v>250</v>
      </c>
      <c r="P45" s="14">
        <f t="shared" si="31"/>
        <v>250</v>
      </c>
      <c r="R45" s="54">
        <f t="shared" si="30"/>
        <v>2500</v>
      </c>
    </row>
    <row r="46" spans="2:18" ht="15" thickBot="1" x14ac:dyDescent="0.4">
      <c r="B46" s="42" t="s">
        <v>31</v>
      </c>
      <c r="C46" s="3"/>
      <c r="D46" s="3"/>
      <c r="E46" s="3"/>
      <c r="F46" s="3"/>
      <c r="G46" s="53">
        <f>+G11</f>
        <v>4500</v>
      </c>
      <c r="H46" s="53">
        <f>+G46</f>
        <v>4500</v>
      </c>
      <c r="I46" s="53">
        <f t="shared" ref="I46:P46" si="32">+H46</f>
        <v>4500</v>
      </c>
      <c r="J46" s="53">
        <f t="shared" si="32"/>
        <v>4500</v>
      </c>
      <c r="K46" s="53">
        <f t="shared" si="32"/>
        <v>4500</v>
      </c>
      <c r="L46" s="53">
        <f t="shared" si="32"/>
        <v>4500</v>
      </c>
      <c r="M46" s="53">
        <f t="shared" si="32"/>
        <v>4500</v>
      </c>
      <c r="N46" s="53">
        <f t="shared" si="32"/>
        <v>4500</v>
      </c>
      <c r="O46" s="53">
        <f t="shared" si="32"/>
        <v>4500</v>
      </c>
      <c r="P46" s="53">
        <f t="shared" si="32"/>
        <v>4500</v>
      </c>
      <c r="R46" s="55">
        <f t="shared" si="30"/>
        <v>45000</v>
      </c>
    </row>
    <row r="47" spans="2:18" ht="15" thickBot="1" x14ac:dyDescent="0.4">
      <c r="B47" s="15" t="s">
        <v>33</v>
      </c>
      <c r="C47" s="16"/>
      <c r="D47" s="16"/>
      <c r="E47" s="16"/>
      <c r="F47" s="16"/>
      <c r="G47" s="17">
        <f>SUM(G44:G46)</f>
        <v>-25250</v>
      </c>
      <c r="H47" s="17">
        <f t="shared" ref="H47:P47" si="33">SUM(H44:H46)</f>
        <v>4750</v>
      </c>
      <c r="I47" s="17">
        <f t="shared" si="33"/>
        <v>4750</v>
      </c>
      <c r="J47" s="17">
        <f t="shared" si="33"/>
        <v>4750</v>
      </c>
      <c r="K47" s="33">
        <f t="shared" si="33"/>
        <v>4750</v>
      </c>
      <c r="L47" s="34">
        <f t="shared" si="33"/>
        <v>4750</v>
      </c>
      <c r="M47" s="33">
        <f t="shared" si="33"/>
        <v>4750</v>
      </c>
      <c r="N47" s="34">
        <f t="shared" si="33"/>
        <v>4750</v>
      </c>
      <c r="O47" s="17">
        <f t="shared" si="33"/>
        <v>4750</v>
      </c>
      <c r="P47" s="18">
        <f t="shared" si="33"/>
        <v>4750</v>
      </c>
      <c r="R47" s="17">
        <f t="shared" si="30"/>
        <v>17500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5CF5-C723-4FD7-9400-02E1674BB4C6}">
  <dimension ref="B4:S89"/>
  <sheetViews>
    <sheetView zoomScale="85" zoomScaleNormal="85" workbookViewId="0">
      <selection activeCell="I10" sqref="I10"/>
    </sheetView>
  </sheetViews>
  <sheetFormatPr defaultRowHeight="14.5" x14ac:dyDescent="0.35"/>
  <cols>
    <col min="2" max="2" width="24.81640625" bestFit="1" customWidth="1"/>
    <col min="3" max="3" width="21.81640625" bestFit="1" customWidth="1"/>
    <col min="4" max="4" width="40.1796875" bestFit="1" customWidth="1"/>
    <col min="5" max="6" width="14.26953125" customWidth="1"/>
    <col min="7" max="7" width="14.54296875" customWidth="1"/>
    <col min="8" max="8" width="11.81640625" bestFit="1" customWidth="1"/>
    <col min="9" max="9" width="11.1796875" bestFit="1" customWidth="1"/>
  </cols>
  <sheetData>
    <row r="4" spans="2:9" x14ac:dyDescent="0.35">
      <c r="B4" s="63" t="s">
        <v>34</v>
      </c>
      <c r="C4" s="63" t="s">
        <v>35</v>
      </c>
      <c r="D4" s="63" t="s">
        <v>36</v>
      </c>
      <c r="E4" s="63" t="s">
        <v>37</v>
      </c>
      <c r="F4" s="63" t="s">
        <v>132</v>
      </c>
      <c r="G4" s="63" t="s">
        <v>38</v>
      </c>
      <c r="H4" s="63" t="s">
        <v>39</v>
      </c>
      <c r="I4" s="63" t="s">
        <v>71</v>
      </c>
    </row>
    <row r="5" spans="2:9" x14ac:dyDescent="0.35">
      <c r="B5" t="s">
        <v>40</v>
      </c>
      <c r="C5" t="s">
        <v>41</v>
      </c>
      <c r="D5" t="s">
        <v>42</v>
      </c>
      <c r="E5" t="s">
        <v>43</v>
      </c>
      <c r="F5">
        <v>3</v>
      </c>
      <c r="G5" s="61">
        <v>46419</v>
      </c>
      <c r="H5" s="1">
        <v>3296.41</v>
      </c>
      <c r="I5" s="1">
        <f>+H5/F5</f>
        <v>1098.8033333333333</v>
      </c>
    </row>
    <row r="6" spans="2:9" x14ac:dyDescent="0.35">
      <c r="B6" t="s">
        <v>44</v>
      </c>
      <c r="C6" t="s">
        <v>41</v>
      </c>
      <c r="D6" t="s">
        <v>45</v>
      </c>
      <c r="E6" t="s">
        <v>46</v>
      </c>
      <c r="F6">
        <v>3</v>
      </c>
      <c r="G6" s="61">
        <v>46347</v>
      </c>
      <c r="H6" s="1">
        <v>3000</v>
      </c>
      <c r="I6" s="1">
        <f t="shared" ref="I6:I12" si="0">+H6/F6</f>
        <v>1000</v>
      </c>
    </row>
    <row r="7" spans="2:9" x14ac:dyDescent="0.35">
      <c r="B7" t="s">
        <v>47</v>
      </c>
      <c r="C7" t="s">
        <v>48</v>
      </c>
      <c r="D7" t="s">
        <v>49</v>
      </c>
      <c r="E7" t="s">
        <v>50</v>
      </c>
      <c r="F7">
        <v>5</v>
      </c>
      <c r="G7" s="61">
        <v>46327</v>
      </c>
      <c r="H7" s="1">
        <f>2*1446.5</f>
        <v>2893</v>
      </c>
      <c r="I7" s="1">
        <f t="shared" si="0"/>
        <v>578.6</v>
      </c>
    </row>
    <row r="8" spans="2:9" x14ac:dyDescent="0.35">
      <c r="B8" t="s">
        <v>51</v>
      </c>
      <c r="C8" t="s">
        <v>48</v>
      </c>
      <c r="D8" t="s">
        <v>52</v>
      </c>
      <c r="E8" t="s">
        <v>46</v>
      </c>
      <c r="F8">
        <v>3</v>
      </c>
      <c r="G8" s="61">
        <v>46320</v>
      </c>
      <c r="H8" s="1">
        <v>2400</v>
      </c>
      <c r="I8" s="1">
        <f t="shared" si="0"/>
        <v>800</v>
      </c>
    </row>
    <row r="9" spans="2:9" x14ac:dyDescent="0.35">
      <c r="B9" t="s">
        <v>53</v>
      </c>
      <c r="C9" t="s">
        <v>41</v>
      </c>
      <c r="D9" t="s">
        <v>45</v>
      </c>
      <c r="E9" t="s">
        <v>54</v>
      </c>
      <c r="F9">
        <v>2</v>
      </c>
      <c r="G9" s="61">
        <v>45778</v>
      </c>
      <c r="H9" s="1">
        <v>1146</v>
      </c>
      <c r="I9" s="1">
        <f t="shared" si="0"/>
        <v>573</v>
      </c>
    </row>
    <row r="10" spans="2:9" x14ac:dyDescent="0.35">
      <c r="B10" t="s">
        <v>55</v>
      </c>
      <c r="C10" t="s">
        <v>56</v>
      </c>
      <c r="D10" t="s">
        <v>57</v>
      </c>
      <c r="E10" t="s">
        <v>58</v>
      </c>
      <c r="F10">
        <v>1</v>
      </c>
      <c r="G10" t="s">
        <v>59</v>
      </c>
      <c r="H10" s="1" t="s">
        <v>60</v>
      </c>
      <c r="I10" s="1">
        <f>200*12</f>
        <v>2400</v>
      </c>
    </row>
    <row r="11" spans="2:9" x14ac:dyDescent="0.35">
      <c r="B11" t="s">
        <v>61</v>
      </c>
      <c r="C11" t="s">
        <v>62</v>
      </c>
      <c r="D11" t="s">
        <v>63</v>
      </c>
      <c r="E11" t="s">
        <v>64</v>
      </c>
      <c r="F11">
        <v>1</v>
      </c>
      <c r="G11" s="61">
        <v>45962</v>
      </c>
      <c r="H11" s="1">
        <v>2267.473</v>
      </c>
      <c r="I11" s="1">
        <f t="shared" si="0"/>
        <v>2267.473</v>
      </c>
    </row>
    <row r="12" spans="2:9" ht="14.5" customHeight="1" x14ac:dyDescent="0.35">
      <c r="B12" t="s">
        <v>65</v>
      </c>
      <c r="C12" t="s">
        <v>62</v>
      </c>
      <c r="D12" t="s">
        <v>66</v>
      </c>
      <c r="E12" t="s">
        <v>50</v>
      </c>
      <c r="F12">
        <v>5</v>
      </c>
      <c r="G12" s="61">
        <v>46966</v>
      </c>
      <c r="H12" s="1">
        <v>0</v>
      </c>
      <c r="I12" s="1">
        <f t="shared" si="0"/>
        <v>0</v>
      </c>
    </row>
    <row r="13" spans="2:9" ht="14.5" customHeight="1" thickBot="1" x14ac:dyDescent="0.4">
      <c r="B13" t="s">
        <v>67</v>
      </c>
      <c r="C13" t="s">
        <v>68</v>
      </c>
      <c r="D13" s="62" t="s">
        <v>69</v>
      </c>
      <c r="E13" t="s">
        <v>70</v>
      </c>
      <c r="H13" s="1" t="s">
        <v>70</v>
      </c>
      <c r="I13" s="1"/>
    </row>
    <row r="14" spans="2:9" ht="15" thickBot="1" x14ac:dyDescent="0.4">
      <c r="H14" s="1"/>
      <c r="I14" s="75">
        <f>SUM(I5:I13)</f>
        <v>8717.8763333333336</v>
      </c>
    </row>
    <row r="19" spans="2:19" x14ac:dyDescent="0.35">
      <c r="H19">
        <v>2014</v>
      </c>
      <c r="I19">
        <f>+H19+1</f>
        <v>2015</v>
      </c>
      <c r="J19">
        <f t="shared" ref="J19:O19" si="1">+I19+1</f>
        <v>2016</v>
      </c>
      <c r="K19">
        <f t="shared" si="1"/>
        <v>2017</v>
      </c>
      <c r="L19">
        <f t="shared" si="1"/>
        <v>2018</v>
      </c>
      <c r="M19">
        <f t="shared" si="1"/>
        <v>2019</v>
      </c>
      <c r="N19">
        <f t="shared" si="1"/>
        <v>2020</v>
      </c>
      <c r="O19">
        <f t="shared" si="1"/>
        <v>2021</v>
      </c>
      <c r="P19">
        <f t="shared" ref="P19:R19" si="2">+O19+1</f>
        <v>2022</v>
      </c>
      <c r="Q19">
        <f t="shared" si="2"/>
        <v>2023</v>
      </c>
      <c r="R19">
        <f t="shared" si="2"/>
        <v>2024</v>
      </c>
    </row>
    <row r="21" spans="2:19" x14ac:dyDescent="0.35">
      <c r="E21" t="s">
        <v>130</v>
      </c>
      <c r="H21" s="1">
        <f>+SUMIF($G$30:$G$88,H19,$D$30:$D$88)</f>
        <v>3575</v>
      </c>
      <c r="I21" s="1">
        <f>+SUMIF($G$30:$G$88,I19,$D$30:$D$88)</f>
        <v>2350</v>
      </c>
      <c r="J21" s="1">
        <f>+SUMIF($G$30:$G$88,J19,$D$30:$D$88)</f>
        <v>5775</v>
      </c>
      <c r="K21" s="1">
        <f>+SUMIF($G$30:$G$88,K19,$D$30:$D$88)</f>
        <v>4119.93</v>
      </c>
      <c r="L21" s="1">
        <f>+SUMIF($G$30:$G$88,L19,$D$30:$D$88)</f>
        <v>3094.01</v>
      </c>
      <c r="M21" s="1">
        <f>+SUMIF($G$30:$G$88,M19,$D$30:$D$88)</f>
        <v>6160.53</v>
      </c>
      <c r="N21" s="1">
        <f>+SUMIF($G$30:$G$88,N19,$D$30:$D$88)</f>
        <v>1501.09</v>
      </c>
      <c r="O21" s="1">
        <f>+SUMIF($G$30:$G$88,O19,$D$30:$D$88)</f>
        <v>2566.77</v>
      </c>
      <c r="P21" s="1">
        <f>+SUMIF($G$30:$G$88,P19,$D$30:$D$88)</f>
        <v>2962.1800000000003</v>
      </c>
      <c r="Q21" s="1">
        <f>+SUMIF($G$30:$G$88,Q19,$D$30:$D$88)</f>
        <v>10715.630000000001</v>
      </c>
      <c r="R21" s="1">
        <f>+SUMIF($G$30:$G$88,R19,$D$30:$D$88)</f>
        <v>3929.14</v>
      </c>
      <c r="S21" s="1"/>
    </row>
    <row r="22" spans="2:19" ht="15" thickBot="1" x14ac:dyDescent="0.4"/>
    <row r="23" spans="2:19" ht="15" thickBot="1" x14ac:dyDescent="0.4">
      <c r="E23" s="72" t="s">
        <v>131</v>
      </c>
      <c r="F23" s="73"/>
      <c r="G23" s="73"/>
      <c r="H23" s="74">
        <f>+AVERAGE(H21:R21)</f>
        <v>4249.9345454545455</v>
      </c>
    </row>
    <row r="28" spans="2:19" x14ac:dyDescent="0.35">
      <c r="B28" s="64"/>
      <c r="C28" s="65" t="s">
        <v>72</v>
      </c>
      <c r="D28" s="65" t="s">
        <v>73</v>
      </c>
    </row>
    <row r="29" spans="2:19" x14ac:dyDescent="0.35">
      <c r="B29" s="71" t="s">
        <v>74</v>
      </c>
      <c r="C29" s="64"/>
      <c r="D29" s="64"/>
    </row>
    <row r="30" spans="2:19" x14ac:dyDescent="0.35">
      <c r="B30" s="64"/>
      <c r="C30" s="67" t="s">
        <v>75</v>
      </c>
      <c r="D30" s="68">
        <v>1200</v>
      </c>
      <c r="G30">
        <f>+YEAR(C30)</f>
        <v>2014</v>
      </c>
    </row>
    <row r="31" spans="2:19" x14ac:dyDescent="0.35">
      <c r="B31" s="64"/>
      <c r="C31" s="67" t="s">
        <v>76</v>
      </c>
      <c r="D31" s="68">
        <v>1500</v>
      </c>
      <c r="G31">
        <f t="shared" ref="G31:G88" si="3">+YEAR(C31)</f>
        <v>2014</v>
      </c>
    </row>
    <row r="32" spans="2:19" x14ac:dyDescent="0.35">
      <c r="B32" s="64"/>
      <c r="C32" s="67" t="s">
        <v>77</v>
      </c>
      <c r="D32" s="68">
        <v>700</v>
      </c>
      <c r="G32">
        <f t="shared" si="3"/>
        <v>2014</v>
      </c>
    </row>
    <row r="33" spans="2:7" x14ac:dyDescent="0.35">
      <c r="B33" s="64"/>
      <c r="C33" s="67" t="s">
        <v>78</v>
      </c>
      <c r="D33" s="68">
        <v>175</v>
      </c>
      <c r="G33">
        <f t="shared" si="3"/>
        <v>2014</v>
      </c>
    </row>
    <row r="34" spans="2:7" x14ac:dyDescent="0.35">
      <c r="B34" s="64"/>
      <c r="C34" s="67" t="s">
        <v>79</v>
      </c>
      <c r="D34" s="68">
        <v>1350</v>
      </c>
      <c r="G34">
        <f t="shared" si="3"/>
        <v>2015</v>
      </c>
    </row>
    <row r="35" spans="2:7" x14ac:dyDescent="0.35">
      <c r="B35" s="64"/>
      <c r="C35" s="67" t="s">
        <v>80</v>
      </c>
      <c r="D35" s="68">
        <v>750</v>
      </c>
      <c r="G35">
        <f t="shared" si="3"/>
        <v>2015</v>
      </c>
    </row>
    <row r="36" spans="2:7" x14ac:dyDescent="0.35">
      <c r="B36" s="64"/>
      <c r="C36" s="67" t="s">
        <v>81</v>
      </c>
      <c r="D36" s="68">
        <v>250</v>
      </c>
      <c r="G36">
        <f t="shared" si="3"/>
        <v>2015</v>
      </c>
    </row>
    <row r="37" spans="2:7" x14ac:dyDescent="0.35">
      <c r="B37" s="64"/>
      <c r="C37" s="67" t="s">
        <v>82</v>
      </c>
      <c r="D37" s="68">
        <v>2100</v>
      </c>
      <c r="G37">
        <f t="shared" si="3"/>
        <v>2016</v>
      </c>
    </row>
    <row r="38" spans="2:7" x14ac:dyDescent="0.35">
      <c r="B38" s="64"/>
      <c r="C38" s="67" t="s">
        <v>83</v>
      </c>
      <c r="D38" s="68">
        <v>750</v>
      </c>
      <c r="G38">
        <f t="shared" si="3"/>
        <v>2016</v>
      </c>
    </row>
    <row r="39" spans="2:7" x14ac:dyDescent="0.35">
      <c r="B39" s="64"/>
      <c r="C39" s="67" t="s">
        <v>84</v>
      </c>
      <c r="D39" s="68">
        <v>1350</v>
      </c>
      <c r="G39">
        <f t="shared" si="3"/>
        <v>2016</v>
      </c>
    </row>
    <row r="40" spans="2:7" x14ac:dyDescent="0.35">
      <c r="B40" s="64"/>
      <c r="C40" s="67" t="s">
        <v>85</v>
      </c>
      <c r="D40" s="68">
        <v>1575</v>
      </c>
      <c r="G40">
        <f t="shared" si="3"/>
        <v>2016</v>
      </c>
    </row>
    <row r="41" spans="2:7" x14ac:dyDescent="0.35">
      <c r="B41" s="64"/>
      <c r="C41" s="67" t="s">
        <v>85</v>
      </c>
      <c r="D41" s="68">
        <v>-750</v>
      </c>
      <c r="G41">
        <f t="shared" si="3"/>
        <v>2016</v>
      </c>
    </row>
    <row r="42" spans="2:7" x14ac:dyDescent="0.35">
      <c r="B42" s="64"/>
      <c r="C42" s="67" t="s">
        <v>86</v>
      </c>
      <c r="D42" s="68">
        <v>750</v>
      </c>
      <c r="G42">
        <f t="shared" si="3"/>
        <v>2016</v>
      </c>
    </row>
    <row r="43" spans="2:7" x14ac:dyDescent="0.35">
      <c r="B43" s="64"/>
      <c r="C43" s="67" t="s">
        <v>87</v>
      </c>
      <c r="D43" s="68">
        <v>153.41999999999999</v>
      </c>
      <c r="G43">
        <f t="shared" si="3"/>
        <v>2017</v>
      </c>
    </row>
    <row r="44" spans="2:7" x14ac:dyDescent="0.35">
      <c r="B44" s="64"/>
      <c r="C44" s="67" t="s">
        <v>88</v>
      </c>
      <c r="D44" s="68">
        <v>1350</v>
      </c>
      <c r="G44">
        <f t="shared" si="3"/>
        <v>2017</v>
      </c>
    </row>
    <row r="45" spans="2:7" x14ac:dyDescent="0.35">
      <c r="B45" s="64"/>
      <c r="C45" s="67" t="s">
        <v>89</v>
      </c>
      <c r="D45" s="68">
        <v>161.05000000000001</v>
      </c>
      <c r="G45">
        <f t="shared" si="3"/>
        <v>2017</v>
      </c>
    </row>
    <row r="46" spans="2:7" x14ac:dyDescent="0.35">
      <c r="B46" s="64"/>
      <c r="C46" s="67" t="s">
        <v>90</v>
      </c>
      <c r="D46" s="68">
        <v>2250</v>
      </c>
      <c r="G46">
        <f t="shared" si="3"/>
        <v>2017</v>
      </c>
    </row>
    <row r="47" spans="2:7" x14ac:dyDescent="0.35">
      <c r="B47" s="64"/>
      <c r="C47" s="67" t="s">
        <v>91</v>
      </c>
      <c r="D47" s="68">
        <v>205.46</v>
      </c>
      <c r="G47">
        <f t="shared" si="3"/>
        <v>2017</v>
      </c>
    </row>
    <row r="48" spans="2:7" x14ac:dyDescent="0.35">
      <c r="B48" s="64"/>
      <c r="C48" s="67" t="s">
        <v>92</v>
      </c>
      <c r="D48" s="68">
        <v>750</v>
      </c>
      <c r="G48">
        <f t="shared" si="3"/>
        <v>2018</v>
      </c>
    </row>
    <row r="49" spans="2:7" x14ac:dyDescent="0.35">
      <c r="B49" s="64"/>
      <c r="C49" s="67" t="s">
        <v>93</v>
      </c>
      <c r="D49" s="68">
        <v>1350</v>
      </c>
      <c r="G49">
        <f t="shared" si="3"/>
        <v>2018</v>
      </c>
    </row>
    <row r="50" spans="2:7" x14ac:dyDescent="0.35">
      <c r="B50" s="64"/>
      <c r="C50" s="67" t="s">
        <v>94</v>
      </c>
      <c r="D50" s="68">
        <v>244.01</v>
      </c>
      <c r="G50">
        <f t="shared" si="3"/>
        <v>2018</v>
      </c>
    </row>
    <row r="51" spans="2:7" x14ac:dyDescent="0.35">
      <c r="B51" s="64"/>
      <c r="C51" s="67" t="s">
        <v>95</v>
      </c>
      <c r="D51" s="68">
        <v>1350</v>
      </c>
      <c r="G51">
        <f t="shared" si="3"/>
        <v>2018</v>
      </c>
    </row>
    <row r="52" spans="2:7" x14ac:dyDescent="0.35">
      <c r="B52" s="64"/>
      <c r="C52" s="67" t="s">
        <v>96</v>
      </c>
      <c r="D52" s="68">
        <v>-600</v>
      </c>
      <c r="G52">
        <f t="shared" si="3"/>
        <v>2018</v>
      </c>
    </row>
    <row r="53" spans="2:7" x14ac:dyDescent="0.35">
      <c r="B53" s="64"/>
      <c r="C53" s="67" t="s">
        <v>97</v>
      </c>
      <c r="D53" s="68">
        <v>750</v>
      </c>
      <c r="G53">
        <f t="shared" si="3"/>
        <v>2019</v>
      </c>
    </row>
    <row r="54" spans="2:7" x14ac:dyDescent="0.35">
      <c r="B54" s="64"/>
      <c r="C54" s="67" t="s">
        <v>98</v>
      </c>
      <c r="D54" s="68">
        <v>319.18</v>
      </c>
      <c r="G54">
        <f t="shared" si="3"/>
        <v>2019</v>
      </c>
    </row>
    <row r="55" spans="2:7" x14ac:dyDescent="0.35">
      <c r="B55" s="64"/>
      <c r="C55" s="67" t="s">
        <v>99</v>
      </c>
      <c r="D55" s="68">
        <v>2991.35</v>
      </c>
      <c r="G55">
        <f t="shared" si="3"/>
        <v>2019</v>
      </c>
    </row>
    <row r="56" spans="2:7" x14ac:dyDescent="0.35">
      <c r="B56" s="64"/>
      <c r="C56" s="67" t="s">
        <v>100</v>
      </c>
      <c r="D56" s="68">
        <v>2100</v>
      </c>
      <c r="G56">
        <f t="shared" si="3"/>
        <v>2019</v>
      </c>
    </row>
    <row r="57" spans="2:7" x14ac:dyDescent="0.35">
      <c r="B57" s="64"/>
      <c r="C57" s="67" t="s">
        <v>101</v>
      </c>
      <c r="D57" s="68">
        <v>309.5</v>
      </c>
      <c r="G57">
        <f t="shared" si="3"/>
        <v>2020</v>
      </c>
    </row>
    <row r="58" spans="2:7" x14ac:dyDescent="0.35">
      <c r="B58" s="64"/>
      <c r="C58" s="67" t="s">
        <v>102</v>
      </c>
      <c r="D58" s="68">
        <v>380</v>
      </c>
      <c r="G58">
        <f t="shared" si="3"/>
        <v>2020</v>
      </c>
    </row>
    <row r="59" spans="2:7" x14ac:dyDescent="0.35">
      <c r="B59" s="64"/>
      <c r="C59" s="67" t="s">
        <v>103</v>
      </c>
      <c r="D59" s="68">
        <v>414.1</v>
      </c>
      <c r="G59">
        <f t="shared" si="3"/>
        <v>2020</v>
      </c>
    </row>
    <row r="60" spans="2:7" x14ac:dyDescent="0.35">
      <c r="B60" s="64"/>
      <c r="C60" s="67" t="s">
        <v>104</v>
      </c>
      <c r="D60" s="68">
        <v>397.49</v>
      </c>
      <c r="G60">
        <f t="shared" si="3"/>
        <v>2020</v>
      </c>
    </row>
    <row r="61" spans="2:7" x14ac:dyDescent="0.35">
      <c r="B61" s="64"/>
      <c r="C61" s="67" t="s">
        <v>105</v>
      </c>
      <c r="D61" s="68">
        <v>434.43</v>
      </c>
      <c r="G61">
        <f t="shared" si="3"/>
        <v>2021</v>
      </c>
    </row>
    <row r="62" spans="2:7" x14ac:dyDescent="0.35">
      <c r="B62" s="64"/>
      <c r="C62" s="67" t="s">
        <v>106</v>
      </c>
      <c r="D62" s="68">
        <v>287.58999999999997</v>
      </c>
      <c r="G62">
        <f t="shared" si="3"/>
        <v>2021</v>
      </c>
    </row>
    <row r="63" spans="2:7" x14ac:dyDescent="0.35">
      <c r="B63" s="64"/>
      <c r="C63" s="67" t="s">
        <v>107</v>
      </c>
      <c r="D63" s="68">
        <v>241.17</v>
      </c>
      <c r="G63">
        <f t="shared" si="3"/>
        <v>2021</v>
      </c>
    </row>
    <row r="64" spans="2:7" x14ac:dyDescent="0.35">
      <c r="B64" s="64"/>
      <c r="C64" s="67" t="s">
        <v>108</v>
      </c>
      <c r="D64" s="68">
        <v>157.08000000000001</v>
      </c>
      <c r="G64">
        <f t="shared" si="3"/>
        <v>2021</v>
      </c>
    </row>
    <row r="65" spans="2:7" x14ac:dyDescent="0.35">
      <c r="B65" s="64"/>
      <c r="C65" s="70">
        <v>44510</v>
      </c>
      <c r="D65" s="68">
        <v>1446.5</v>
      </c>
      <c r="G65">
        <f t="shared" si="3"/>
        <v>2021</v>
      </c>
    </row>
    <row r="66" spans="2:7" x14ac:dyDescent="0.35">
      <c r="B66" s="64"/>
      <c r="C66" s="67" t="s">
        <v>109</v>
      </c>
      <c r="D66" s="68">
        <v>207.19</v>
      </c>
      <c r="G66">
        <f t="shared" si="3"/>
        <v>2022</v>
      </c>
    </row>
    <row r="67" spans="2:7" x14ac:dyDescent="0.35">
      <c r="B67" s="64"/>
      <c r="C67" s="67" t="s">
        <v>110</v>
      </c>
      <c r="D67" s="68">
        <v>443.75</v>
      </c>
      <c r="G67">
        <f t="shared" si="3"/>
        <v>2022</v>
      </c>
    </row>
    <row r="68" spans="2:7" x14ac:dyDescent="0.35">
      <c r="B68" s="64"/>
      <c r="C68" s="67" t="s">
        <v>111</v>
      </c>
      <c r="D68" s="68">
        <v>371.46</v>
      </c>
      <c r="G68">
        <f t="shared" si="3"/>
        <v>2022</v>
      </c>
    </row>
    <row r="69" spans="2:7" x14ac:dyDescent="0.35">
      <c r="B69" s="64"/>
      <c r="C69" s="67" t="s">
        <v>112</v>
      </c>
      <c r="D69" s="68">
        <v>203.66</v>
      </c>
      <c r="G69">
        <f t="shared" si="3"/>
        <v>2022</v>
      </c>
    </row>
    <row r="70" spans="2:7" x14ac:dyDescent="0.35">
      <c r="B70" s="64"/>
      <c r="C70" s="70">
        <v>44895</v>
      </c>
      <c r="D70" s="68">
        <v>1446.5</v>
      </c>
      <c r="G70">
        <f t="shared" si="3"/>
        <v>2022</v>
      </c>
    </row>
    <row r="71" spans="2:7" x14ac:dyDescent="0.35">
      <c r="B71" s="64"/>
      <c r="C71" s="67" t="s">
        <v>113</v>
      </c>
      <c r="D71" s="68">
        <v>289.62</v>
      </c>
      <c r="G71">
        <f t="shared" si="3"/>
        <v>2022</v>
      </c>
    </row>
    <row r="72" spans="2:7" x14ac:dyDescent="0.35">
      <c r="B72" s="64"/>
      <c r="C72" s="67" t="s">
        <v>114</v>
      </c>
      <c r="D72" s="68">
        <v>750</v>
      </c>
      <c r="G72">
        <f t="shared" si="3"/>
        <v>2023</v>
      </c>
    </row>
    <row r="73" spans="2:7" x14ac:dyDescent="0.35">
      <c r="B73" s="64"/>
      <c r="C73" s="67" t="s">
        <v>114</v>
      </c>
      <c r="D73" s="68">
        <v>396</v>
      </c>
      <c r="G73">
        <f t="shared" si="3"/>
        <v>2023</v>
      </c>
    </row>
    <row r="74" spans="2:7" x14ac:dyDescent="0.35">
      <c r="B74" s="64"/>
      <c r="C74" s="67" t="s">
        <v>115</v>
      </c>
      <c r="D74" s="68">
        <v>577.34</v>
      </c>
      <c r="G74">
        <f t="shared" si="3"/>
        <v>2023</v>
      </c>
    </row>
    <row r="75" spans="2:7" x14ac:dyDescent="0.35">
      <c r="B75" s="64"/>
      <c r="C75" s="67" t="s">
        <v>116</v>
      </c>
      <c r="D75" s="68">
        <v>295.88</v>
      </c>
      <c r="G75">
        <f t="shared" si="3"/>
        <v>2023</v>
      </c>
    </row>
    <row r="76" spans="2:7" x14ac:dyDescent="0.35">
      <c r="B76" s="64"/>
      <c r="C76" s="67" t="s">
        <v>117</v>
      </c>
      <c r="D76" s="68">
        <v>2400</v>
      </c>
      <c r="G76">
        <f t="shared" si="3"/>
        <v>2023</v>
      </c>
    </row>
    <row r="77" spans="2:7" x14ac:dyDescent="0.35">
      <c r="B77" s="64"/>
      <c r="C77" s="67" t="s">
        <v>118</v>
      </c>
      <c r="D77" s="68">
        <v>3000</v>
      </c>
      <c r="G77">
        <f t="shared" si="3"/>
        <v>2023</v>
      </c>
    </row>
    <row r="78" spans="2:7" x14ac:dyDescent="0.35">
      <c r="B78" s="64"/>
      <c r="C78" s="67" t="s">
        <v>119</v>
      </c>
      <c r="D78" s="68">
        <v>3296.41</v>
      </c>
      <c r="G78">
        <f t="shared" si="3"/>
        <v>2023</v>
      </c>
    </row>
    <row r="79" spans="2:7" x14ac:dyDescent="0.35">
      <c r="B79" s="64"/>
      <c r="C79" s="67" t="s">
        <v>120</v>
      </c>
      <c r="D79" s="68">
        <v>481.78</v>
      </c>
      <c r="G79">
        <f t="shared" si="3"/>
        <v>2024</v>
      </c>
    </row>
    <row r="80" spans="2:7" x14ac:dyDescent="0.35">
      <c r="B80" s="64"/>
      <c r="C80" s="67" t="s">
        <v>121</v>
      </c>
      <c r="D80" s="68">
        <v>486.13</v>
      </c>
      <c r="G80">
        <f t="shared" si="3"/>
        <v>2024</v>
      </c>
    </row>
    <row r="81" spans="2:7" x14ac:dyDescent="0.35">
      <c r="B81" s="64"/>
      <c r="C81" s="67" t="s">
        <v>122</v>
      </c>
      <c r="D81" s="68">
        <v>293.76</v>
      </c>
      <c r="G81">
        <f t="shared" si="3"/>
        <v>2024</v>
      </c>
    </row>
    <row r="82" spans="2:7" x14ac:dyDescent="0.35">
      <c r="B82" s="64"/>
      <c r="C82" s="67" t="s">
        <v>123</v>
      </c>
      <c r="D82" s="68">
        <v>200</v>
      </c>
      <c r="G82">
        <f t="shared" si="3"/>
        <v>2024</v>
      </c>
    </row>
    <row r="83" spans="2:7" x14ac:dyDescent="0.35">
      <c r="B83" s="64"/>
      <c r="C83" s="67" t="s">
        <v>124</v>
      </c>
      <c r="D83" s="68">
        <v>200</v>
      </c>
      <c r="G83">
        <f t="shared" si="3"/>
        <v>2024</v>
      </c>
    </row>
    <row r="84" spans="2:7" x14ac:dyDescent="0.35">
      <c r="B84" s="64"/>
      <c r="C84" s="67" t="s">
        <v>124</v>
      </c>
      <c r="D84" s="68">
        <v>2267.4699999999998</v>
      </c>
      <c r="G84">
        <f t="shared" si="3"/>
        <v>2024</v>
      </c>
    </row>
    <row r="85" spans="2:7" x14ac:dyDescent="0.35">
      <c r="B85" s="64"/>
      <c r="C85" s="67" t="s">
        <v>125</v>
      </c>
      <c r="D85" s="68">
        <v>200</v>
      </c>
      <c r="G85">
        <f t="shared" si="3"/>
        <v>2025</v>
      </c>
    </row>
    <row r="86" spans="2:7" x14ac:dyDescent="0.35">
      <c r="B86" s="64"/>
      <c r="C86" s="67" t="s">
        <v>126</v>
      </c>
      <c r="D86" s="68">
        <v>200</v>
      </c>
      <c r="G86">
        <f t="shared" si="3"/>
        <v>2025</v>
      </c>
    </row>
    <row r="87" spans="2:7" x14ac:dyDescent="0.35">
      <c r="B87" s="64"/>
      <c r="C87" s="67" t="s">
        <v>127</v>
      </c>
      <c r="D87" s="68">
        <v>200</v>
      </c>
      <c r="G87">
        <f t="shared" si="3"/>
        <v>2025</v>
      </c>
    </row>
    <row r="88" spans="2:7" x14ac:dyDescent="0.35">
      <c r="B88" s="64"/>
      <c r="C88" s="67" t="s">
        <v>128</v>
      </c>
      <c r="D88" s="68">
        <v>499.59</v>
      </c>
      <c r="G88">
        <f t="shared" si="3"/>
        <v>2025</v>
      </c>
    </row>
    <row r="89" spans="2:7" x14ac:dyDescent="0.35">
      <c r="B89" s="66" t="s">
        <v>129</v>
      </c>
      <c r="C89" s="64"/>
      <c r="D89" s="69">
        <v>47848.869999999981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Schroeder</dc:creator>
  <cp:lastModifiedBy>Jason Schroeder</cp:lastModifiedBy>
  <dcterms:created xsi:type="dcterms:W3CDTF">2025-04-09T15:09:35Z</dcterms:created>
  <dcterms:modified xsi:type="dcterms:W3CDTF">2025-04-09T18:27:36Z</dcterms:modified>
</cp:coreProperties>
</file>