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eci\Downloads\"/>
    </mc:Choice>
  </mc:AlternateContent>
  <xr:revisionPtr revIDLastSave="0" documentId="8_{9E66935E-6FB8-4BCF-9ECB-61FEF527E263}" xr6:coauthVersionLast="47" xr6:coauthVersionMax="47" xr10:uidLastSave="{00000000-0000-0000-0000-000000000000}"/>
  <bookViews>
    <workbookView xWindow="460" yWindow="2660" windowWidth="21140" windowHeight="21080" xr2:uid="{00000000-000D-0000-FFFF-FFFF00000000}"/>
  </bookViews>
  <sheets>
    <sheet name="Expense Flow Analysis" sheetId="1" r:id="rId1"/>
    <sheet name="CSCG Relationshi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<sst xmlns="http://schemas.openxmlformats.org/spreadsheetml/2006/main" count="136" uniqueCount="109">
  <si>
    <t>NSIA Expense Flow Analysis</t>
  </si>
  <si>
    <t>Comparing Budget vs Actuals to Board-Approved Invoices</t>
  </si>
  <si>
    <t>Period: July - December 2025 (6 months)</t>
  </si>
  <si>
    <t>Expense Category</t>
  </si>
  <si>
    <t>YTD per Financials</t>
  </si>
  <si>
    <t>YTD from Invoices</t>
  </si>
  <si>
    <t>Variance</t>
  </si>
  <si>
    <t>Approval Method</t>
  </si>
  <si>
    <t>Notes</t>
  </si>
  <si>
    <t>BOARD-APPROVED INVOICES</t>
  </si>
  <si>
    <t>Electric (Engie)</t>
  </si>
  <si>
    <t>Invoice Approval</t>
  </si>
  <si>
    <t>Some invoices may span different periods</t>
  </si>
  <si>
    <t>Gas (Nicor)</t>
  </si>
  <si>
    <t>Matches closely</t>
  </si>
  <si>
    <t>Janitorial Supplies (Ramrod)</t>
  </si>
  <si>
    <t>Exact match</t>
  </si>
  <si>
    <t>Insurance - Liab, Prop, D&amp;O</t>
  </si>
  <si>
    <t>West Bend; timing differences</t>
  </si>
  <si>
    <t>Landscaping/Snow</t>
  </si>
  <si>
    <t>Green Apple</t>
  </si>
  <si>
    <t>Propane</t>
  </si>
  <si>
    <t>Suburban Propane</t>
  </si>
  <si>
    <t>Building Maintenance</t>
  </si>
  <si>
    <t>Atlas, Atomatic, Lowes, etc.</t>
  </si>
  <si>
    <t>Auditor/Consultants</t>
  </si>
  <si>
    <t>Miller Verchota, Arbitrage Group</t>
  </si>
  <si>
    <t>Cable/Internet</t>
  </si>
  <si>
    <t>Comcast</t>
  </si>
  <si>
    <t>Security</t>
  </si>
  <si>
    <t>Alert Protective</t>
  </si>
  <si>
    <t>Operation Supplies</t>
  </si>
  <si>
    <t>Various vendors</t>
  </si>
  <si>
    <t>Youth Programs (instruction)</t>
  </si>
  <si>
    <t>Warrick, Boudreau, GVN</t>
  </si>
  <si>
    <t>CSCG-MANAGED (NO INVOICE APPROVAL)</t>
  </si>
  <si>
    <t>Office Payroll</t>
  </si>
  <si>
    <t>CSCG Auto-Pay</t>
  </si>
  <si>
    <t>CSCG employees - reimbursed automatically</t>
  </si>
  <si>
    <t>Operations Payroll</t>
  </si>
  <si>
    <t>Workers Comp Insurance</t>
  </si>
  <si>
    <t>Part of CSCG employee costs</t>
  </si>
  <si>
    <t>Men's League Payroll</t>
  </si>
  <si>
    <t>Referees - 1099 contractors</t>
  </si>
  <si>
    <t>Management Fees</t>
  </si>
  <si>
    <t>$3,500/month per contract</t>
  </si>
  <si>
    <t>FIXED OBLIGATIONS (CONTRACTUAL)</t>
  </si>
  <si>
    <t>Land Lease (Techny)</t>
  </si>
  <si>
    <t>Fixed Contract</t>
  </si>
  <si>
    <t>Monthly payment per ground lease</t>
  </si>
  <si>
    <t>Techny Loan Interest</t>
  </si>
  <si>
    <t>Loan agreement</t>
  </si>
  <si>
    <t>Bond Interest (DSRF)</t>
  </si>
  <si>
    <t>Semi-annual bond payment</t>
  </si>
  <si>
    <t>Property Taxes</t>
  </si>
  <si>
    <t>Government</t>
  </si>
  <si>
    <t>Annual tax bill</t>
  </si>
  <si>
    <t>Trustee Admin Fee (UMB)</t>
  </si>
  <si>
    <t>Annual fee - also appears in invoices</t>
  </si>
  <si>
    <t>Scrubber Lease</t>
  </si>
  <si>
    <t>Equipment lease</t>
  </si>
  <si>
    <t>Scoreboard Software</t>
  </si>
  <si>
    <t>Annual license</t>
  </si>
  <si>
    <t>SUMMARY BY APPROVAL METHOD</t>
  </si>
  <si>
    <t>YTD Amount</t>
  </si>
  <si>
    <t>% of Total Expenses</t>
  </si>
  <si>
    <t>Board Oversight</t>
  </si>
  <si>
    <t>Board-Approved Invoices</t>
  </si>
  <si>
    <t>Direct approval required</t>
  </si>
  <si>
    <t>CSCG Auto-Pay (Payroll + Mgmt Fee)</t>
  </si>
  <si>
    <t>Monthly financial reports only</t>
  </si>
  <si>
    <t>Fixed Obligations (Lease, Bonds, Taxes)</t>
  </si>
  <si>
    <t>Annual budget approval</t>
  </si>
  <si>
    <t>Other/Miscellaneous</t>
  </si>
  <si>
    <t>Varies</t>
  </si>
  <si>
    <t>TOTAL EXPENSES (YTD)</t>
  </si>
  <si>
    <t>KEY FINDINGS</t>
  </si>
  <si>
    <t>1. Only 25.5% of expenses require individual invoice approval by the Board President</t>
  </si>
  <si>
    <t>2. 21.0% flows automatically through CSCG without invoice-level approval (payroll reimbursement + management fee)</t>
  </si>
  <si>
    <t>3. 45.9% are fixed contractual obligations (land lease, bond payments, property taxes)</t>
  </si>
  <si>
    <t>4. The $226,550 in CSCG-managed expenses (payroll + mgmt fee) represents the "hidden" portion of the CSCG relationship</t>
  </si>
  <si>
    <t>5. Board oversight of CSCG expenses is limited to monthly financial reports and annual budget approval</t>
  </si>
  <si>
    <t>DISCLOSURE IMPLICATIONS</t>
  </si>
  <si>
    <t>The current invoice approval process only captures a fraction of NSIA expenses.</t>
  </si>
  <si>
    <t>CSCG has authority to pay $226,550 in staffing costs without individual invoice approval.</t>
  </si>
  <si>
    <t>This supports the need for enhanced disclosure of the CSCG management relationship.</t>
  </si>
  <si>
    <t>The Form 990 should reflect that management duties have been delegated (Part VI, Line 3 = Yes).</t>
  </si>
  <si>
    <t>CSCG Management Relationship - Financial Summary</t>
  </si>
  <si>
    <t>July - December 2025 (6 months)</t>
  </si>
  <si>
    <t>Component</t>
  </si>
  <si>
    <t>Amount</t>
  </si>
  <si>
    <t>Approval Required?</t>
  </si>
  <si>
    <t>Contract Reference</t>
  </si>
  <si>
    <t>Management Fee</t>
  </si>
  <si>
    <t>No - per contract</t>
  </si>
  <si>
    <t>Article 7.1 - $42,000/year</t>
  </si>
  <si>
    <t>Office Payroll Reimbursement</t>
  </si>
  <si>
    <t>No - auto-pay</t>
  </si>
  <si>
    <t>Article 10.1 - CSCG employees</t>
  </si>
  <si>
    <t>Operations Payroll Reimbursement</t>
  </si>
  <si>
    <t>Article 10.1 - employee costs</t>
  </si>
  <si>
    <t>Men's League Referees</t>
  </si>
  <si>
    <t>1099 contractors</t>
  </si>
  <si>
    <t>TOTAL CSCG RELATIONSHIP</t>
  </si>
  <si>
    <t>ANNUALIZED PROJECTION</t>
  </si>
  <si>
    <t>6-Month Total</t>
  </si>
  <si>
    <t>Projected Annual</t>
  </si>
  <si>
    <t>vs. Current Disclosure ($42,000 mgmt fee only)</t>
  </si>
  <si>
    <t>Undisclosed CSCG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</si>
</sst>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5" fillId="0" borderId="0" xfId="0" applyFont="1"/>
    <xf numFmtId="0" fontId="3" fillId="2" borderId="1" xfId="0" applyFont="1" applyFill="1" applyBorder="1"/>
    <xf numFmtId="165" fontId="0" fillId="0" borderId="1" xfId="0" applyNumberFormat="1" applyBorder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6" fillId="0" borderId="0" xfId="0" applyFont="1"/>
    <xf numFmtId="164" fontId="0" fillId="0" borderId="0" xfId="0" applyNumberFormat="1"/>
    <xf numFmtId="164" fontId="6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2" fillId="0" borderId="0" xfId="0" applyFont="1"/>
    <xf numFmtId="0" fontId="0" fillId="0" borderId="0" xfId="0"/>
    <xf numFmtId="0" fontId="4" fillId="3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sqref="A1:F1"/>
    </sheetView>
  </sheetViews>
  <sheetFormatPr defaultRowHeight="14.5" x14ac:dyDescent="0.35"/>
  <cols>
    <col min="1" max="1" width="35" customWidth="1"/>
    <col min="2" max="3" width="18" customWidth="1"/>
    <col min="4" max="4" width="15" customWidth="1"/>
    <col min="5" max="5" width="18" customWidth="1"/>
    <col min="6" max="6" width="40" customWidth="1"/>
  </cols>
  <sheetData>
    <row r="1" spans="1:6" ht="18.5" x14ac:dyDescent="0.45">
      <c r="A1" s="22" t="s">
        <v>0</v>
      </c>
      <c r="B1" s="18"/>
      <c r="C1" s="18"/>
      <c r="D1" s="18"/>
      <c r="E1" s="18"/>
      <c r="F1" s="18"/>
    </row>
    <row r="2" spans="1:6" x14ac:dyDescent="0.35">
      <c r="A2" s="17" t="s">
        <v>1</v>
      </c>
      <c r="B2" s="18"/>
      <c r="C2" s="18"/>
      <c r="D2" s="18"/>
      <c r="E2" s="18"/>
      <c r="F2" s="18"/>
    </row>
    <row r="3" spans="1:6" x14ac:dyDescent="0.35">
      <c r="A3" s="17" t="s">
        <v>2</v>
      </c>
      <c r="B3" s="18"/>
      <c r="C3" s="18"/>
      <c r="D3" s="18"/>
      <c r="E3" s="18"/>
      <c r="F3" s="18"/>
    </row>
    <row r="5" spans="1:6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35">
      <c r="A6" s="19" t="s">
        <v>9</v>
      </c>
      <c r="B6" s="20"/>
      <c r="C6" s="20"/>
      <c r="D6" s="20"/>
      <c r="E6" s="20"/>
      <c r="F6" s="21"/>
    </row>
    <row r="7" spans="1:6" x14ac:dyDescent="0.35">
      <c r="A7" s="2" t="s">
        <v>10</v>
      </c>
      <c r="B7" s="3">
        <v>94624.25</v>
      </c>
      <c r="C7" s="3">
        <v>80834.33</v>
      </c>
      <c r="D7" s="3">
        <f t="shared" ref="D7:D18" si="0">B7-C7</f>
        <v>13789.919999999998</v>
      </c>
      <c r="E7" s="2" t="s">
        <v>11</v>
      </c>
      <c r="F7" s="2" t="s">
        <v>12</v>
      </c>
    </row>
    <row r="8" spans="1:6" x14ac:dyDescent="0.35">
      <c r="A8" s="2" t="s">
        <v>13</v>
      </c>
      <c r="B8" s="3">
        <v>15318.46</v>
      </c>
      <c r="C8" s="3">
        <v>14516.88</v>
      </c>
      <c r="D8" s="3">
        <f t="shared" si="0"/>
        <v>801.57999999999993</v>
      </c>
      <c r="E8" s="2" t="s">
        <v>11</v>
      </c>
      <c r="F8" s="2" t="s">
        <v>14</v>
      </c>
    </row>
    <row r="9" spans="1:6" x14ac:dyDescent="0.35">
      <c r="A9" s="2" t="s">
        <v>15</v>
      </c>
      <c r="B9" s="3">
        <v>3647.87</v>
      </c>
      <c r="C9" s="3">
        <v>3647.87</v>
      </c>
      <c r="D9" s="3">
        <f t="shared" si="0"/>
        <v>0</v>
      </c>
      <c r="E9" s="2" t="s">
        <v>11</v>
      </c>
      <c r="F9" s="2" t="s">
        <v>16</v>
      </c>
    </row>
    <row r="10" spans="1:6" x14ac:dyDescent="0.35">
      <c r="A10" s="2" t="s">
        <v>17</v>
      </c>
      <c r="B10" s="3">
        <v>26446.5</v>
      </c>
      <c r="C10" s="3">
        <v>16781</v>
      </c>
      <c r="D10" s="3">
        <f t="shared" si="0"/>
        <v>9665.5</v>
      </c>
      <c r="E10" s="2" t="s">
        <v>11</v>
      </c>
      <c r="F10" s="2" t="s">
        <v>18</v>
      </c>
    </row>
    <row r="11" spans="1:6" x14ac:dyDescent="0.35">
      <c r="A11" s="2" t="s">
        <v>19</v>
      </c>
      <c r="B11" s="3">
        <v>11170</v>
      </c>
      <c r="C11" s="3">
        <v>9200</v>
      </c>
      <c r="D11" s="3">
        <f t="shared" si="0"/>
        <v>1970</v>
      </c>
      <c r="E11" s="2" t="s">
        <v>11</v>
      </c>
      <c r="F11" s="2" t="s">
        <v>20</v>
      </c>
    </row>
    <row r="12" spans="1:6" x14ac:dyDescent="0.35">
      <c r="A12" s="2" t="s">
        <v>21</v>
      </c>
      <c r="B12" s="3">
        <v>1506.34</v>
      </c>
      <c r="C12" s="3">
        <v>1816.14</v>
      </c>
      <c r="D12" s="3">
        <f t="shared" si="0"/>
        <v>-309.80000000000018</v>
      </c>
      <c r="E12" s="2" t="s">
        <v>11</v>
      </c>
      <c r="F12" s="2" t="s">
        <v>22</v>
      </c>
    </row>
    <row r="13" spans="1:6" x14ac:dyDescent="0.35">
      <c r="A13" s="2" t="s">
        <v>23</v>
      </c>
      <c r="B13" s="3">
        <v>41108.28</v>
      </c>
      <c r="C13" s="3">
        <v>27377.65</v>
      </c>
      <c r="D13" s="3">
        <f t="shared" si="0"/>
        <v>13730.629999999997</v>
      </c>
      <c r="E13" s="2" t="s">
        <v>11</v>
      </c>
      <c r="F13" s="2" t="s">
        <v>24</v>
      </c>
    </row>
    <row r="14" spans="1:6" x14ac:dyDescent="0.35">
      <c r="A14" s="2" t="s">
        <v>25</v>
      </c>
      <c r="B14" s="3">
        <v>21435</v>
      </c>
      <c r="C14" s="3">
        <v>15144.85</v>
      </c>
      <c r="D14" s="3">
        <f t="shared" si="0"/>
        <v>6290.15</v>
      </c>
      <c r="E14" s="2" t="s">
        <v>11</v>
      </c>
      <c r="F14" s="2" t="s">
        <v>26</v>
      </c>
    </row>
    <row r="15" spans="1:6" x14ac:dyDescent="0.35">
      <c r="A15" s="2" t="s">
        <v>27</v>
      </c>
      <c r="B15" s="3">
        <v>1819.56</v>
      </c>
      <c r="C15" s="3">
        <v>2602.92</v>
      </c>
      <c r="D15" s="3">
        <f t="shared" si="0"/>
        <v>-783.36000000000013</v>
      </c>
      <c r="E15" s="2" t="s">
        <v>11</v>
      </c>
      <c r="F15" s="2" t="s">
        <v>28</v>
      </c>
    </row>
    <row r="16" spans="1:6" x14ac:dyDescent="0.35">
      <c r="A16" s="2" t="s">
        <v>29</v>
      </c>
      <c r="B16" s="3">
        <v>1568.82</v>
      </c>
      <c r="C16" s="3">
        <v>119.97</v>
      </c>
      <c r="D16" s="3">
        <f t="shared" si="0"/>
        <v>1448.85</v>
      </c>
      <c r="E16" s="2" t="s">
        <v>11</v>
      </c>
      <c r="F16" s="2" t="s">
        <v>30</v>
      </c>
    </row>
    <row r="17" spans="1:6" x14ac:dyDescent="0.35">
      <c r="A17" s="2" t="s">
        <v>31</v>
      </c>
      <c r="B17" s="3">
        <v>9818.06</v>
      </c>
      <c r="C17" s="3">
        <v>5269.58</v>
      </c>
      <c r="D17" s="3">
        <f t="shared" si="0"/>
        <v>4548.4799999999996</v>
      </c>
      <c r="E17" s="2" t="s">
        <v>11</v>
      </c>
      <c r="F17" s="2" t="s">
        <v>32</v>
      </c>
    </row>
    <row r="18" spans="1:6" x14ac:dyDescent="0.35">
      <c r="A18" s="2" t="s">
        <v>33</v>
      </c>
      <c r="B18" s="3">
        <v>46588</v>
      </c>
      <c r="C18" s="3">
        <v>15015</v>
      </c>
      <c r="D18" s="3">
        <f t="shared" si="0"/>
        <v>31573</v>
      </c>
      <c r="E18" s="2" t="s">
        <v>11</v>
      </c>
      <c r="F18" s="2" t="s">
        <v>34</v>
      </c>
    </row>
    <row r="19" spans="1:6" x14ac:dyDescent="0.35">
      <c r="A19" s="19" t="s">
        <v>35</v>
      </c>
      <c r="B19" s="20"/>
      <c r="C19" s="20"/>
      <c r="D19" s="20"/>
      <c r="E19" s="20"/>
      <c r="F19" s="21"/>
    </row>
    <row r="20" spans="1:6" x14ac:dyDescent="0.35">
      <c r="A20" s="2" t="s">
        <v>36</v>
      </c>
      <c r="B20" s="3">
        <v>49848</v>
      </c>
      <c r="C20" s="3">
        <v>0</v>
      </c>
      <c r="D20" s="3">
        <f>B20-C20</f>
        <v>49848</v>
      </c>
      <c r="E20" s="2" t="s">
        <v>37</v>
      </c>
      <c r="F20" s="2" t="s">
        <v>38</v>
      </c>
    </row>
    <row r="21" spans="1:6" x14ac:dyDescent="0.35">
      <c r="A21" s="2" t="s">
        <v>39</v>
      </c>
      <c r="B21" s="3">
        <v>144301.88</v>
      </c>
      <c r="C21" s="3">
        <v>0</v>
      </c>
      <c r="D21" s="3">
        <f>B21-C21</f>
        <v>144301.88</v>
      </c>
      <c r="E21" s="2" t="s">
        <v>37</v>
      </c>
      <c r="F21" s="2" t="s">
        <v>38</v>
      </c>
    </row>
    <row r="22" spans="1:6" x14ac:dyDescent="0.35">
      <c r="A22" s="2" t="s">
        <v>40</v>
      </c>
      <c r="B22" s="3">
        <v>9000</v>
      </c>
      <c r="C22" s="3">
        <v>0</v>
      </c>
      <c r="D22" s="3">
        <f>B22-C22</f>
        <v>9000</v>
      </c>
      <c r="E22" s="2" t="s">
        <v>37</v>
      </c>
      <c r="F22" s="2" t="s">
        <v>41</v>
      </c>
    </row>
    <row r="23" spans="1:6" x14ac:dyDescent="0.35">
      <c r="A23" s="2" t="s">
        <v>42</v>
      </c>
      <c r="B23" s="3">
        <v>2400</v>
      </c>
      <c r="C23" s="3">
        <v>0</v>
      </c>
      <c r="D23" s="3">
        <f>B23-C23</f>
        <v>2400</v>
      </c>
      <c r="E23" s="2" t="s">
        <v>37</v>
      </c>
      <c r="F23" s="2" t="s">
        <v>43</v>
      </c>
    </row>
    <row r="24" spans="1:6" x14ac:dyDescent="0.35">
      <c r="A24" s="2" t="s">
        <v>44</v>
      </c>
      <c r="B24" s="3">
        <v>21000</v>
      </c>
      <c r="C24" s="3">
        <v>0</v>
      </c>
      <c r="D24" s="3">
        <f>B24-C24</f>
        <v>21000</v>
      </c>
      <c r="E24" s="2" t="s">
        <v>37</v>
      </c>
      <c r="F24" s="2" t="s">
        <v>45</v>
      </c>
    </row>
    <row r="25" spans="1:6" x14ac:dyDescent="0.35">
      <c r="A25" s="19" t="s">
        <v>46</v>
      </c>
      <c r="B25" s="20"/>
      <c r="C25" s="20"/>
      <c r="D25" s="20"/>
      <c r="E25" s="20"/>
      <c r="F25" s="21"/>
    </row>
    <row r="26" spans="1:6" x14ac:dyDescent="0.35">
      <c r="A26" s="2" t="s">
        <v>47</v>
      </c>
      <c r="B26" s="3">
        <v>192500.35</v>
      </c>
      <c r="C26" s="3">
        <v>0</v>
      </c>
      <c r="D26" s="3">
        <f t="shared" ref="D26:D32" si="1">B26-C26</f>
        <v>192500.35</v>
      </c>
      <c r="E26" s="2" t="s">
        <v>48</v>
      </c>
      <c r="F26" s="2" t="s">
        <v>49</v>
      </c>
    </row>
    <row r="27" spans="1:6" x14ac:dyDescent="0.35">
      <c r="A27" s="2" t="s">
        <v>50</v>
      </c>
      <c r="B27" s="3">
        <v>4964.5</v>
      </c>
      <c r="C27" s="3">
        <v>0</v>
      </c>
      <c r="D27" s="3">
        <f t="shared" si="1"/>
        <v>4964.5</v>
      </c>
      <c r="E27" s="2" t="s">
        <v>48</v>
      </c>
      <c r="F27" s="2" t="s">
        <v>51</v>
      </c>
    </row>
    <row r="28" spans="1:6" x14ac:dyDescent="0.35">
      <c r="A28" s="2" t="s">
        <v>52</v>
      </c>
      <c r="B28" s="3">
        <v>188205.35</v>
      </c>
      <c r="C28" s="3">
        <v>0</v>
      </c>
      <c r="D28" s="3">
        <f t="shared" si="1"/>
        <v>188205.35</v>
      </c>
      <c r="E28" s="2" t="s">
        <v>48</v>
      </c>
      <c r="F28" s="2" t="s">
        <v>53</v>
      </c>
    </row>
    <row r="29" spans="1:6" x14ac:dyDescent="0.35">
      <c r="A29" s="2" t="s">
        <v>54</v>
      </c>
      <c r="B29" s="3">
        <v>96448.320000000007</v>
      </c>
      <c r="C29" s="3">
        <v>0</v>
      </c>
      <c r="D29" s="3">
        <f t="shared" si="1"/>
        <v>96448.320000000007</v>
      </c>
      <c r="E29" s="2" t="s">
        <v>55</v>
      </c>
      <c r="F29" s="2" t="s">
        <v>56</v>
      </c>
    </row>
    <row r="30" spans="1:6" x14ac:dyDescent="0.35">
      <c r="A30" s="2" t="s">
        <v>57</v>
      </c>
      <c r="B30" s="3">
        <v>3000</v>
      </c>
      <c r="C30" s="3">
        <v>3000</v>
      </c>
      <c r="D30" s="3">
        <f t="shared" si="1"/>
        <v>0</v>
      </c>
      <c r="E30" s="2" t="s">
        <v>48</v>
      </c>
      <c r="F30" s="2" t="s">
        <v>58</v>
      </c>
    </row>
    <row r="31" spans="1:6" x14ac:dyDescent="0.35">
      <c r="A31" s="2" t="s">
        <v>59</v>
      </c>
      <c r="B31" s="3">
        <v>3405</v>
      </c>
      <c r="C31" s="3">
        <v>0</v>
      </c>
      <c r="D31" s="3">
        <f t="shared" si="1"/>
        <v>3405</v>
      </c>
      <c r="E31" s="2" t="s">
        <v>48</v>
      </c>
      <c r="F31" s="2" t="s">
        <v>60</v>
      </c>
    </row>
    <row r="32" spans="1:6" x14ac:dyDescent="0.35">
      <c r="A32" s="2" t="s">
        <v>61</v>
      </c>
      <c r="B32" s="3">
        <v>7500</v>
      </c>
      <c r="C32" s="3">
        <v>0</v>
      </c>
      <c r="D32" s="3">
        <f t="shared" si="1"/>
        <v>7500</v>
      </c>
      <c r="E32" s="2" t="s">
        <v>48</v>
      </c>
      <c r="F32" s="2" t="s">
        <v>62</v>
      </c>
    </row>
    <row r="35" spans="1:6" ht="15.5" x14ac:dyDescent="0.35">
      <c r="A35" s="23" t="s">
        <v>63</v>
      </c>
      <c r="B35" s="18"/>
      <c r="C35" s="18"/>
      <c r="D35" s="18"/>
      <c r="E35" s="18"/>
      <c r="F35" s="18"/>
    </row>
    <row r="36" spans="1:6" x14ac:dyDescent="0.35">
      <c r="A36" s="5" t="s">
        <v>7</v>
      </c>
      <c r="B36" s="5" t="s">
        <v>64</v>
      </c>
      <c r="C36" s="5" t="s">
        <v>65</v>
      </c>
      <c r="D36" s="5" t="s">
        <v>66</v>
      </c>
    </row>
    <row r="37" spans="1:6" x14ac:dyDescent="0.35">
      <c r="A37" s="2" t="s">
        <v>67</v>
      </c>
      <c r="B37" s="3">
        <v>275051.14</v>
      </c>
      <c r="C37" s="6">
        <v>0.255</v>
      </c>
      <c r="D37" s="2" t="s">
        <v>68</v>
      </c>
    </row>
    <row r="38" spans="1:6" x14ac:dyDescent="0.35">
      <c r="A38" s="2" t="s">
        <v>69</v>
      </c>
      <c r="B38" s="3">
        <v>226549.88</v>
      </c>
      <c r="C38" s="6">
        <v>0.21</v>
      </c>
      <c r="D38" s="2" t="s">
        <v>70</v>
      </c>
    </row>
    <row r="39" spans="1:6" x14ac:dyDescent="0.35">
      <c r="A39" s="2" t="s">
        <v>71</v>
      </c>
      <c r="B39" s="3">
        <v>496023.52</v>
      </c>
      <c r="C39" s="6">
        <v>0.45900000000000002</v>
      </c>
      <c r="D39" s="2" t="s">
        <v>72</v>
      </c>
    </row>
    <row r="40" spans="1:6" x14ac:dyDescent="0.35">
      <c r="A40" s="2" t="s">
        <v>73</v>
      </c>
      <c r="B40" s="3">
        <v>82338.53</v>
      </c>
      <c r="C40" s="6">
        <v>7.5999999999999998E-2</v>
      </c>
      <c r="D40" s="2" t="s">
        <v>74</v>
      </c>
    </row>
    <row r="41" spans="1:6" x14ac:dyDescent="0.35">
      <c r="A41" s="7" t="s">
        <v>75</v>
      </c>
      <c r="B41" s="8">
        <v>1079963.07</v>
      </c>
      <c r="C41" s="9">
        <v>1</v>
      </c>
    </row>
    <row r="44" spans="1:6" ht="15.5" x14ac:dyDescent="0.35">
      <c r="A44" s="4" t="s">
        <v>76</v>
      </c>
    </row>
    <row r="45" spans="1:6" x14ac:dyDescent="0.35">
      <c r="A45" s="18" t="s">
        <v>77</v>
      </c>
      <c r="B45" s="18"/>
      <c r="C45" s="18"/>
      <c r="D45" s="18"/>
      <c r="E45" s="18"/>
      <c r="F45" s="18"/>
    </row>
    <row r="46" spans="1:6" x14ac:dyDescent="0.35">
      <c r="A46" s="18" t="s">
        <v>78</v>
      </c>
      <c r="B46" s="18"/>
      <c r="C46" s="18"/>
      <c r="D46" s="18"/>
      <c r="E46" s="18"/>
      <c r="F46" s="18"/>
    </row>
    <row r="47" spans="1:6" x14ac:dyDescent="0.35">
      <c r="A47" s="18" t="s">
        <v>79</v>
      </c>
      <c r="B47" s="18"/>
      <c r="C47" s="18"/>
      <c r="D47" s="18"/>
      <c r="E47" s="18"/>
      <c r="F47" s="18"/>
    </row>
    <row r="48" spans="1:6" x14ac:dyDescent="0.35">
      <c r="A48" s="18" t="s">
        <v>80</v>
      </c>
      <c r="B48" s="18"/>
      <c r="C48" s="18"/>
      <c r="D48" s="18"/>
      <c r="E48" s="18"/>
      <c r="F48" s="18"/>
    </row>
    <row r="49" spans="1:6" x14ac:dyDescent="0.35">
      <c r="A49" s="18" t="s">
        <v>81</v>
      </c>
      <c r="B49" s="18"/>
      <c r="C49" s="18"/>
      <c r="D49" s="18"/>
      <c r="E49" s="18"/>
      <c r="F49" s="18"/>
    </row>
    <row r="52" spans="1:6" ht="15.5" x14ac:dyDescent="0.35">
      <c r="A52" s="4" t="s">
        <v>82</v>
      </c>
    </row>
    <row r="53" spans="1:6" x14ac:dyDescent="0.35">
      <c r="A53" s="18" t="s">
        <v>83</v>
      </c>
      <c r="B53" s="18"/>
      <c r="C53" s="18"/>
      <c r="D53" s="18"/>
      <c r="E53" s="18"/>
      <c r="F53" s="18"/>
    </row>
    <row r="54" spans="1:6" x14ac:dyDescent="0.35">
      <c r="A54" s="18" t="s">
        <v>84</v>
      </c>
      <c r="B54" s="18"/>
      <c r="C54" s="18"/>
      <c r="D54" s="18"/>
      <c r="E54" s="18"/>
      <c r="F54" s="18"/>
    </row>
    <row r="55" spans="1:6" x14ac:dyDescent="0.35">
      <c r="A55" s="18" t="s">
        <v>85</v>
      </c>
      <c r="B55" s="18"/>
      <c r="C55" s="18"/>
      <c r="D55" s="18"/>
      <c r="E55" s="18"/>
      <c r="F55" s="18"/>
    </row>
    <row r="56" spans="1:6" x14ac:dyDescent="0.35">
      <c r="A56" s="18" t="s">
        <v>86</v>
      </c>
      <c r="B56" s="18"/>
      <c r="C56" s="18"/>
      <c r="D56" s="18"/>
      <c r="E56" s="18"/>
      <c r="F56" s="18"/>
    </row>
  </sheetData>
  <mergeCells count="16">
    <mergeCell ref="A1:F1"/>
    <mergeCell ref="A45:F45"/>
    <mergeCell ref="A6:F6"/>
    <mergeCell ref="A35:F35"/>
    <mergeCell ref="A56:F56"/>
    <mergeCell ref="A48:F48"/>
    <mergeCell ref="A3:F3"/>
    <mergeCell ref="A53:F53"/>
    <mergeCell ref="A55:F55"/>
    <mergeCell ref="A25:F25"/>
    <mergeCell ref="A2:F2"/>
    <mergeCell ref="A49:F49"/>
    <mergeCell ref="A54:F54"/>
    <mergeCell ref="A47:F47"/>
    <mergeCell ref="A46:F46"/>
    <mergeCell ref="A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5" x14ac:dyDescent="0.35"/>
  <cols>
    <col min="1" max="1" width="35" customWidth="1"/>
    <col min="2" max="2" width="18" customWidth="1"/>
    <col min="3" max="3" width="20" customWidth="1"/>
    <col min="4" max="4" width="35" customWidth="1"/>
  </cols>
  <sheetData>
    <row r="1" spans="1:4" ht="18.5" x14ac:dyDescent="0.45">
      <c r="A1" s="22" t="s">
        <v>87</v>
      </c>
      <c r="B1" s="18"/>
      <c r="C1" s="18"/>
      <c r="D1" s="18"/>
    </row>
    <row r="2" spans="1:4" x14ac:dyDescent="0.35">
      <c r="A2" s="18" t="s">
        <v>88</v>
      </c>
      <c r="B2" s="18"/>
      <c r="C2" s="18"/>
      <c r="D2" s="18"/>
    </row>
    <row r="4" spans="1:4" x14ac:dyDescent="0.35">
      <c r="A4" s="5" t="s">
        <v>89</v>
      </c>
      <c r="B4" s="5" t="s">
        <v>90</v>
      </c>
      <c r="C4" s="5" t="s">
        <v>91</v>
      </c>
      <c r="D4" s="5" t="s">
        <v>92</v>
      </c>
    </row>
    <row r="5" spans="1:4" x14ac:dyDescent="0.35">
      <c r="A5" s="2" t="s">
        <v>93</v>
      </c>
      <c r="B5" s="3">
        <v>21000</v>
      </c>
      <c r="C5" s="2" t="s">
        <v>94</v>
      </c>
      <c r="D5" s="2" t="s">
        <v>95</v>
      </c>
    </row>
    <row r="6" spans="1:4" x14ac:dyDescent="0.35">
      <c r="A6" s="2" t="s">
        <v>96</v>
      </c>
      <c r="B6" s="3">
        <v>49848</v>
      </c>
      <c r="C6" s="2" t="s">
        <v>97</v>
      </c>
      <c r="D6" s="2" t="s">
        <v>98</v>
      </c>
    </row>
    <row r="7" spans="1:4" x14ac:dyDescent="0.35">
      <c r="A7" s="2" t="s">
        <v>99</v>
      </c>
      <c r="B7" s="3">
        <v>144301.88</v>
      </c>
      <c r="C7" s="2" t="s">
        <v>97</v>
      </c>
      <c r="D7" s="2" t="s">
        <v>98</v>
      </c>
    </row>
    <row r="8" spans="1:4" x14ac:dyDescent="0.35">
      <c r="A8" s="2" t="s">
        <v>40</v>
      </c>
      <c r="B8" s="3">
        <v>9000</v>
      </c>
      <c r="C8" s="2" t="s">
        <v>97</v>
      </c>
      <c r="D8" s="2" t="s">
        <v>100</v>
      </c>
    </row>
    <row r="9" spans="1:4" x14ac:dyDescent="0.35">
      <c r="A9" s="2" t="s">
        <v>101</v>
      </c>
      <c r="B9" s="3">
        <v>2400</v>
      </c>
      <c r="C9" s="2" t="s">
        <v>97</v>
      </c>
      <c r="D9" s="2" t="s">
        <v>102</v>
      </c>
    </row>
    <row r="10" spans="1:4" x14ac:dyDescent="0.35">
      <c r="A10" s="10" t="s">
        <v>103</v>
      </c>
      <c r="B10" s="11">
        <v>226549.88</v>
      </c>
      <c r="C10" s="10"/>
      <c r="D10" s="10"/>
    </row>
    <row r="13" spans="1:4" x14ac:dyDescent="0.35">
      <c r="A13" s="12" t="s">
        <v>104</v>
      </c>
    </row>
    <row r="14" spans="1:4" x14ac:dyDescent="0.35">
      <c r="A14" t="s">
        <v>105</v>
      </c>
      <c r="B14" s="13">
        <v>226549.88</v>
      </c>
    </row>
    <row r="15" spans="1:4" x14ac:dyDescent="0.35">
      <c r="A15" t="s">
        <v>106</v>
      </c>
      <c r="B15" s="14">
        <v>453099.76</v>
      </c>
    </row>
    <row r="16" spans="1:4" x14ac:dyDescent="0.35">
      <c r="A16" t="s">
        <v>107</v>
      </c>
      <c r="B16" s="13">
        <v>42000</v>
      </c>
    </row>
    <row r="17" spans="1:2" x14ac:dyDescent="0.35">
      <c r="A17" s="15" t="s">
        <v>108</v>
      </c>
      <c r="B17" s="16">
        <v>411099.76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Flow Analysis</vt:lpstr>
      <vt:lpstr>CSCG Relationship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Cecil</cp:lastModifiedBy>
  <dcterms:created xsi:type="dcterms:W3CDTF">2026-02-10T02:43:03Z</dcterms:created>
  <dcterms:modified xsi:type="dcterms:W3CDTF">2026-02-10T21:23:12Z</dcterms:modified>
</cp:coreProperties>
</file>